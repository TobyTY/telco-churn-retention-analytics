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TheRA\analytics-autobuild\02-churn-retention-analytics\excel\"/>
    </mc:Choice>
  </mc:AlternateContent>
  <xr:revisionPtr revIDLastSave="0" documentId="13_ncr:1_{366A5EFE-F1BD-4113-8490-02C4C4F9C295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ummary" sheetId="1" r:id="rId1"/>
    <sheet name="ROI Calculator" sheetId="2" r:id="rId2"/>
    <sheet name="Groups" sheetId="3" r:id="rId3"/>
    <sheet name="Segments" sheetId="4" r:id="rId4"/>
    <sheet name="Risk bands" sheetId="5" r:id="rId5"/>
    <sheet name="Lift" sheetId="6" r:id="rId6"/>
  </sheets>
  <definedNames>
    <definedName name="_xlnm._FilterDatabase" localSheetId="3" hidden="1">Segments!$A$4:$I$55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4" i="6" l="1"/>
  <c r="D14" i="6"/>
  <c r="E14" i="6" s="1"/>
  <c r="F13" i="6"/>
  <c r="D13" i="6"/>
  <c r="E13" i="6" s="1"/>
  <c r="F12" i="6"/>
  <c r="E12" i="6"/>
  <c r="D12" i="6"/>
  <c r="F11" i="6"/>
  <c r="D11" i="6"/>
  <c r="E11" i="6" s="1"/>
  <c r="F10" i="6"/>
  <c r="D10" i="6"/>
  <c r="E10" i="6" s="1"/>
  <c r="F9" i="6"/>
  <c r="D9" i="6"/>
  <c r="E9" i="6" s="1"/>
  <c r="F8" i="6"/>
  <c r="E8" i="6"/>
  <c r="D8" i="6"/>
  <c r="F7" i="6"/>
  <c r="D7" i="6"/>
  <c r="E7" i="6" s="1"/>
  <c r="F6" i="6"/>
  <c r="D6" i="6"/>
  <c r="E6" i="6" s="1"/>
  <c r="F5" i="6"/>
  <c r="D5" i="6"/>
  <c r="E5" i="6" s="1"/>
  <c r="H7" i="5"/>
  <c r="G7" i="5"/>
  <c r="H6" i="5"/>
  <c r="G6" i="5"/>
  <c r="H5" i="5"/>
  <c r="G5" i="5"/>
  <c r="I55" i="4"/>
  <c r="F55" i="4"/>
  <c r="H55" i="4" s="1"/>
  <c r="I54" i="4"/>
  <c r="F54" i="4"/>
  <c r="I53" i="4"/>
  <c r="F53" i="4"/>
  <c r="I52" i="4"/>
  <c r="F52" i="4"/>
  <c r="I51" i="4"/>
  <c r="F51" i="4"/>
  <c r="I50" i="4"/>
  <c r="F50" i="4"/>
  <c r="H50" i="4" s="1"/>
  <c r="I49" i="4"/>
  <c r="F49" i="4"/>
  <c r="I48" i="4"/>
  <c r="F48" i="4"/>
  <c r="H48" i="4" s="1"/>
  <c r="I47" i="4"/>
  <c r="F47" i="4"/>
  <c r="H47" i="4" s="1"/>
  <c r="I46" i="4"/>
  <c r="F46" i="4"/>
  <c r="I45" i="4"/>
  <c r="F45" i="4"/>
  <c r="I44" i="4"/>
  <c r="F44" i="4"/>
  <c r="H44" i="4" s="1"/>
  <c r="I43" i="4"/>
  <c r="F43" i="4"/>
  <c r="I42" i="4"/>
  <c r="F42" i="4"/>
  <c r="H42" i="4" s="1"/>
  <c r="I41" i="4"/>
  <c r="F41" i="4"/>
  <c r="I40" i="4"/>
  <c r="F40" i="4"/>
  <c r="H40" i="4" s="1"/>
  <c r="I39" i="4"/>
  <c r="F39" i="4"/>
  <c r="H39" i="4" s="1"/>
  <c r="I38" i="4"/>
  <c r="F38" i="4"/>
  <c r="I37" i="4"/>
  <c r="F37" i="4"/>
  <c r="I36" i="4"/>
  <c r="F36" i="4"/>
  <c r="H36" i="4" s="1"/>
  <c r="I35" i="4"/>
  <c r="F35" i="4"/>
  <c r="I34" i="4"/>
  <c r="F34" i="4"/>
  <c r="H34" i="4" s="1"/>
  <c r="I33" i="4"/>
  <c r="F33" i="4"/>
  <c r="I32" i="4"/>
  <c r="F32" i="4"/>
  <c r="H32" i="4" s="1"/>
  <c r="I31" i="4"/>
  <c r="F31" i="4"/>
  <c r="H31" i="4" s="1"/>
  <c r="I30" i="4"/>
  <c r="F30" i="4"/>
  <c r="I29" i="4"/>
  <c r="F29" i="4"/>
  <c r="I28" i="4"/>
  <c r="F28" i="4"/>
  <c r="H28" i="4" s="1"/>
  <c r="I27" i="4"/>
  <c r="F27" i="4"/>
  <c r="I26" i="4"/>
  <c r="F26" i="4"/>
  <c r="H26" i="4" s="1"/>
  <c r="I25" i="4"/>
  <c r="F25" i="4"/>
  <c r="I24" i="4"/>
  <c r="F24" i="4"/>
  <c r="H24" i="4" s="1"/>
  <c r="I23" i="4"/>
  <c r="F23" i="4"/>
  <c r="H23" i="4" s="1"/>
  <c r="I22" i="4"/>
  <c r="F22" i="4"/>
  <c r="I21" i="4"/>
  <c r="F21" i="4"/>
  <c r="I20" i="4"/>
  <c r="F20" i="4"/>
  <c r="H20" i="4" s="1"/>
  <c r="I19" i="4"/>
  <c r="F19" i="4"/>
  <c r="I18" i="4"/>
  <c r="F18" i="4"/>
  <c r="H18" i="4" s="1"/>
  <c r="I17" i="4"/>
  <c r="F17" i="4"/>
  <c r="I16" i="4"/>
  <c r="F16" i="4"/>
  <c r="H16" i="4" s="1"/>
  <c r="I15" i="4"/>
  <c r="F15" i="4"/>
  <c r="H15" i="4" s="1"/>
  <c r="I14" i="4"/>
  <c r="F14" i="4"/>
  <c r="I13" i="4"/>
  <c r="F13" i="4"/>
  <c r="I12" i="4"/>
  <c r="F12" i="4"/>
  <c r="H12" i="4" s="1"/>
  <c r="I11" i="4"/>
  <c r="F11" i="4"/>
  <c r="I10" i="4"/>
  <c r="F10" i="4"/>
  <c r="H10" i="4" s="1"/>
  <c r="I9" i="4"/>
  <c r="F9" i="4"/>
  <c r="I8" i="4"/>
  <c r="F8" i="4"/>
  <c r="H8" i="4" s="1"/>
  <c r="I7" i="4"/>
  <c r="F7" i="4"/>
  <c r="H7" i="4" s="1"/>
  <c r="I6" i="4"/>
  <c r="F6" i="4"/>
  <c r="I5" i="4"/>
  <c r="F5" i="4"/>
  <c r="B3" i="4"/>
  <c r="D8" i="3"/>
  <c r="D7" i="3"/>
  <c r="D6" i="3"/>
  <c r="D5" i="3"/>
  <c r="B16" i="2"/>
  <c r="B15" i="2"/>
  <c r="F32" i="2" s="1"/>
  <c r="B14" i="2"/>
  <c r="B19" i="2" s="1"/>
  <c r="B13" i="2"/>
  <c r="B14" i="1"/>
  <c r="B9" i="1"/>
  <c r="B8" i="1"/>
  <c r="B6" i="1"/>
  <c r="B7" i="1" s="1"/>
  <c r="B5" i="1"/>
  <c r="H11" i="4" l="1"/>
  <c r="H19" i="4"/>
  <c r="H27" i="4"/>
  <c r="H35" i="4"/>
  <c r="H43" i="4"/>
  <c r="H51" i="4"/>
  <c r="H52" i="4"/>
  <c r="D33" i="2"/>
  <c r="C31" i="2"/>
  <c r="G50" i="4"/>
  <c r="E33" i="2"/>
  <c r="H6" i="4"/>
  <c r="H14" i="4"/>
  <c r="H22" i="4"/>
  <c r="H30" i="4"/>
  <c r="H38" i="4"/>
  <c r="H46" i="4"/>
  <c r="H54" i="4"/>
  <c r="B21" i="2"/>
  <c r="B25" i="2" s="1"/>
  <c r="B24" i="2"/>
  <c r="B13" i="1" s="1"/>
  <c r="F33" i="2"/>
  <c r="B34" i="2"/>
  <c r="G5" i="4"/>
  <c r="G9" i="4"/>
  <c r="G13" i="4"/>
  <c r="G17" i="4"/>
  <c r="G21" i="4"/>
  <c r="G25" i="4"/>
  <c r="G29" i="4"/>
  <c r="G33" i="4"/>
  <c r="G37" i="4"/>
  <c r="G41" i="4"/>
  <c r="G45" i="4"/>
  <c r="G49" i="4"/>
  <c r="G53" i="4"/>
  <c r="B10" i="1"/>
  <c r="B31" i="2"/>
  <c r="C34" i="2"/>
  <c r="H5" i="4"/>
  <c r="H9" i="4"/>
  <c r="H13" i="4"/>
  <c r="H17" i="4"/>
  <c r="H21" i="4"/>
  <c r="H25" i="4"/>
  <c r="H29" i="4"/>
  <c r="H33" i="4"/>
  <c r="H37" i="4"/>
  <c r="H41" i="4"/>
  <c r="H45" i="4"/>
  <c r="H49" i="4"/>
  <c r="H53" i="4"/>
  <c r="D31" i="2"/>
  <c r="E34" i="2"/>
  <c r="D34" i="2"/>
  <c r="F34" i="2"/>
  <c r="G14" i="4"/>
  <c r="G22" i="4"/>
  <c r="G34" i="4"/>
  <c r="G46" i="4"/>
  <c r="G54" i="4"/>
  <c r="E31" i="2"/>
  <c r="G6" i="4"/>
  <c r="G10" i="4"/>
  <c r="G18" i="4"/>
  <c r="G26" i="4"/>
  <c r="G30" i="4"/>
  <c r="G38" i="4"/>
  <c r="G42" i="4"/>
  <c r="F31" i="2"/>
  <c r="B35" i="2"/>
  <c r="C32" i="2"/>
  <c r="D35" i="2"/>
  <c r="D32" i="2"/>
  <c r="E35" i="2"/>
  <c r="G7" i="4"/>
  <c r="G11" i="4"/>
  <c r="G15" i="4"/>
  <c r="G19" i="4"/>
  <c r="G23" i="4"/>
  <c r="G27" i="4"/>
  <c r="G31" i="4"/>
  <c r="G35" i="4"/>
  <c r="G39" i="4"/>
  <c r="G43" i="4"/>
  <c r="G47" i="4"/>
  <c r="G51" i="4"/>
  <c r="G55" i="4"/>
  <c r="B32" i="2"/>
  <c r="C35" i="2"/>
  <c r="E32" i="2"/>
  <c r="F35" i="2"/>
  <c r="B20" i="2"/>
  <c r="B22" i="2" s="1"/>
  <c r="B11" i="1" s="1"/>
  <c r="B33" i="2"/>
  <c r="C33" i="2"/>
  <c r="G8" i="4"/>
  <c r="G12" i="4"/>
  <c r="G16" i="4"/>
  <c r="G20" i="4"/>
  <c r="G24" i="4"/>
  <c r="G28" i="4"/>
  <c r="G32" i="4"/>
  <c r="G36" i="4"/>
  <c r="G40" i="4"/>
  <c r="G44" i="4"/>
  <c r="G48" i="4"/>
  <c r="G52" i="4"/>
  <c r="B23" i="2" l="1"/>
  <c r="B12" i="1" s="1"/>
</calcChain>
</file>

<file path=xl/sharedStrings.xml><?xml version="1.0" encoding="utf-8"?>
<sst xmlns="http://schemas.openxmlformats.org/spreadsheetml/2006/main" count="194" uniqueCount="124">
  <si>
    <t>Telco churn: summary</t>
  </si>
  <si>
    <t>Real data: IBM Telco Customer Churn sample. Every value is a formula over the other sheets.</t>
  </si>
  <si>
    <t>KPI</t>
  </si>
  <si>
    <t>Value</t>
  </si>
  <si>
    <t>Customers</t>
  </si>
  <si>
    <t>Churned customers</t>
  </si>
  <si>
    <t>Churn rate</t>
  </si>
  <si>
    <t>Monthly revenue lost to churn ($)</t>
  </si>
  <si>
    <t>Annualised revenue lost ($)</t>
  </si>
  <si>
    <t>Recommended campaign: customers targeted</t>
  </si>
  <si>
    <t>Recommended campaign: net value ($)</t>
  </si>
  <si>
    <t>Recommended campaign: ROI</t>
  </si>
  <si>
    <t>Recommended campaign: break-even save rate</t>
  </si>
  <si>
    <t>High-risk band: expected MRR at risk ($)</t>
  </si>
  <si>
    <t>Campaign rows reflect the ROI Calculator as saved (model group, default assumptions).</t>
  </si>
  <si>
    <t>Retention campaign ROI calculator</t>
  </si>
  <si>
    <t>Yellow cells are inputs. Pick a target group in B5; every result is a formula.</t>
  </si>
  <si>
    <t>Inputs</t>
  </si>
  <si>
    <t>Target group</t>
  </si>
  <si>
    <t>Model: churn probability &gt;= threshold</t>
  </si>
  <si>
    <t>Discount on monthly bill</t>
  </si>
  <si>
    <t>Discount length (months)</t>
  </si>
  <si>
    <t>Contact cost per targeted customer ($)</t>
  </si>
  <si>
    <t>Save rate: share of would-be churners retained</t>
  </si>
  <si>
    <t>Revenue horizon for a saved customer (months)</t>
  </si>
  <si>
    <t>Selected group</t>
  </si>
  <si>
    <t>Customers targeted</t>
  </si>
  <si>
    <t>Would-be churners in group</t>
  </si>
  <si>
    <t>Churner MRR ($)</t>
  </si>
  <si>
    <t>Group MRR ($)</t>
  </si>
  <si>
    <t>Results</t>
  </si>
  <si>
    <t>Customers saved</t>
  </si>
  <si>
    <t>Revenue saved over horizon ($)</t>
  </si>
  <si>
    <t>Campaign cost: contact + discount ($)</t>
  </si>
  <si>
    <t>Net value ($)</t>
  </si>
  <si>
    <t>ROI (net / cost)</t>
  </si>
  <si>
    <t>Break-even save rate</t>
  </si>
  <si>
    <t>Cost per customer saved ($)</t>
  </si>
  <si>
    <t>Sensitivity: net value ($) by save rate and discount, selected group</t>
  </si>
  <si>
    <t>Save rate \ discount</t>
  </si>
  <si>
    <t>10%</t>
  </si>
  <si>
    <t>15%</t>
  </si>
  <si>
    <t>20%</t>
  </si>
  <si>
    <t>25%</t>
  </si>
  <si>
    <t>30%</t>
  </si>
  <si>
    <t>discount -&gt;</t>
  </si>
  <si>
    <t>Candidate target groups</t>
  </si>
  <si>
    <t>Values from the out-of-fold model scores (src/model.py). Churn rate is a formula.</t>
  </si>
  <si>
    <t>Group</t>
  </si>
  <si>
    <t>Churners</t>
  </si>
  <si>
    <t>Rule: month-to-month + fiber + first year</t>
  </si>
  <si>
    <t>All month-to-month customers</t>
  </si>
  <si>
    <t>Everyone</t>
  </si>
  <si>
    <t>Model threshold used: 0.35 (chosen by maximum net value on training folds)</t>
  </si>
  <si>
    <t>Churn by segment with Wilson 95% confidence intervals</t>
  </si>
  <si>
    <t>Values: customers, churned, MRR lost. Rate, CI and shares are formulas; z in B3.</t>
  </si>
  <si>
    <t>z (95%)</t>
  </si>
  <si>
    <t>Dimension</t>
  </si>
  <si>
    <t>Segment</t>
  </si>
  <si>
    <t>Churned</t>
  </si>
  <si>
    <t>MRR lost ($)</t>
  </si>
  <si>
    <t>CI low</t>
  </si>
  <si>
    <t>CI high</t>
  </si>
  <si>
    <t>Share of MRR lost</t>
  </si>
  <si>
    <t>contract</t>
  </si>
  <si>
    <t>Month-to-month</t>
  </si>
  <si>
    <t>One year</t>
  </si>
  <si>
    <t>Two year</t>
  </si>
  <si>
    <t>tenure_band</t>
  </si>
  <si>
    <t>00-12 months</t>
  </si>
  <si>
    <t>13-24 months</t>
  </si>
  <si>
    <t>25-48 months</t>
  </si>
  <si>
    <t>49-72 months</t>
  </si>
  <si>
    <t>internet_service</t>
  </si>
  <si>
    <t>DSL</t>
  </si>
  <si>
    <t>Fiber optic</t>
  </si>
  <si>
    <t>No</t>
  </si>
  <si>
    <t>payment_method</t>
  </si>
  <si>
    <t>Bank transfer (automatic)</t>
  </si>
  <si>
    <t>Credit card (automatic)</t>
  </si>
  <si>
    <t>Electronic check</t>
  </si>
  <si>
    <t>Mailed check</t>
  </si>
  <si>
    <t>charges_band</t>
  </si>
  <si>
    <t>1. under $35</t>
  </si>
  <si>
    <t>2. $35-70</t>
  </si>
  <si>
    <t>3. $70-90</t>
  </si>
  <si>
    <t>4. $90+</t>
  </si>
  <si>
    <t>tech_support</t>
  </si>
  <si>
    <t>No internet service</t>
  </si>
  <si>
    <t>Yes</t>
  </si>
  <si>
    <t>online_security</t>
  </si>
  <si>
    <t>online_backup</t>
  </si>
  <si>
    <t>device_protection</t>
  </si>
  <si>
    <t>streaming_tv</t>
  </si>
  <si>
    <t>streaming_movies</t>
  </si>
  <si>
    <t>paperless_billing</t>
  </si>
  <si>
    <t>False</t>
  </si>
  <si>
    <t>True</t>
  </si>
  <si>
    <t>is_senior</t>
  </si>
  <si>
    <t>has_partner</t>
  </si>
  <si>
    <t>has_dependents</t>
  </si>
  <si>
    <t>multiple_lines</t>
  </si>
  <si>
    <t>No phone service</t>
  </si>
  <si>
    <t>has_phone</t>
  </si>
  <si>
    <t>gender</t>
  </si>
  <si>
    <t>Female</t>
  </si>
  <si>
    <t>Male</t>
  </si>
  <si>
    <t>Model risk bands (out-of-fold scores)</t>
  </si>
  <si>
    <t>High &gt;= 50% predicted churn, Medium 25-50%, Low &lt; 25%. Shares are formulas.</t>
  </si>
  <si>
    <t>Risk band</t>
  </si>
  <si>
    <t>Actual churn rate</t>
  </si>
  <si>
    <t>Avg predicted probability</t>
  </si>
  <si>
    <t>MRR ($)</t>
  </si>
  <si>
    <t>Expected MRR at risk ($)</t>
  </si>
  <si>
    <t>Share of customers</t>
  </si>
  <si>
    <t>Share of expected risk</t>
  </si>
  <si>
    <t>1. High</t>
  </si>
  <si>
    <t>2. Medium</t>
  </si>
  <si>
    <t>3. Low</t>
  </si>
  <si>
    <t>Lift and cumulative gains by risk decile (test set)</t>
  </si>
  <si>
    <t>Values: customers and churners per decile. Rate, lift and capture are formulas.</t>
  </si>
  <si>
    <t>Decile</t>
  </si>
  <si>
    <t>Lift</t>
  </si>
  <si>
    <t>Cumulative share of churners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</si>
</sst>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\$#,##0.00"/>
    <numFmt numFmtId="166" formatCode="0.0"/>
    <numFmt numFmtId="167" formatCode="\$#,##0"/>
  </numFmts>
  <fonts count="8" x14ac:knownFonts="1">
    <font>
      <sz val="11"/>
      <color theme="1"/>
      <name val="Calibri"/>
      <family val="2"/>
      <scheme val="minor"/>
    </font>
    <font>
      <b/>
      <sz val="14"/>
      <color rgb="FF1F2A44"/>
      <name val="Calibri"/>
    </font>
    <font>
      <i/>
      <sz val="9"/>
      <color rgb="FF52514E"/>
      <name val="Calibri"/>
    </font>
    <font>
      <b/>
      <sz val="11"/>
      <color rgb="FFFFFFFF"/>
      <name val="Calibri"/>
    </font>
    <font>
      <i/>
      <sz val="9"/>
      <name val="Calibri"/>
    </font>
    <font>
      <b/>
      <sz val="11"/>
      <color rgb="FF1F2A44"/>
      <name val="Calibri"/>
    </font>
    <font>
      <b/>
      <sz val="11"/>
      <name val="Calibri"/>
    </font>
    <font>
      <b/>
      <sz val="12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2A44"/>
      </patternFill>
    </fill>
    <fill>
      <patternFill patternType="solid">
        <fgColor rgb="FFFFF4CC"/>
      </patternFill>
    </fill>
    <fill>
      <patternFill patternType="solid">
        <fgColor rgb="FFE8F1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 wrapText="1"/>
    </xf>
    <xf numFmtId="3" fontId="7" fillId="0" borderId="0" xfId="0" applyNumberFormat="1" applyFont="1"/>
    <xf numFmtId="10" fontId="7" fillId="0" borderId="0" xfId="0" applyNumberFormat="1" applyFont="1"/>
    <xf numFmtId="167" fontId="7" fillId="0" borderId="0" xfId="0" applyNumberFormat="1" applyFont="1"/>
    <xf numFmtId="164" fontId="7" fillId="0" borderId="0" xfId="0" applyNumberFormat="1" applyFont="1"/>
    <xf numFmtId="0" fontId="4" fillId="0" borderId="0" xfId="0" applyFont="1"/>
    <xf numFmtId="0" fontId="5" fillId="0" borderId="0" xfId="0" applyFont="1"/>
    <xf numFmtId="0" fontId="0" fillId="3" borderId="0" xfId="0" applyFill="1"/>
    <xf numFmtId="164" fontId="0" fillId="3" borderId="0" xfId="0" applyNumberFormat="1" applyFill="1"/>
    <xf numFmtId="3" fontId="0" fillId="3" borderId="0" xfId="0" applyNumberFormat="1" applyFill="1"/>
    <xf numFmtId="165" fontId="0" fillId="3" borderId="0" xfId="0" applyNumberFormat="1" applyFill="1"/>
    <xf numFmtId="3" fontId="0" fillId="4" borderId="0" xfId="0" applyNumberFormat="1" applyFill="1"/>
    <xf numFmtId="165" fontId="0" fillId="4" borderId="0" xfId="0" applyNumberFormat="1" applyFill="1"/>
    <xf numFmtId="166" fontId="6" fillId="0" borderId="0" xfId="0" applyNumberFormat="1" applyFont="1"/>
    <xf numFmtId="167" fontId="6" fillId="0" borderId="0" xfId="0" applyNumberFormat="1" applyFont="1"/>
    <xf numFmtId="164" fontId="6" fillId="0" borderId="0" xfId="0" applyNumberFormat="1" applyFont="1"/>
    <xf numFmtId="165" fontId="6" fillId="0" borderId="0" xfId="0" applyNumberFormat="1" applyFont="1"/>
    <xf numFmtId="164" fontId="0" fillId="0" borderId="0" xfId="0" applyNumberFormat="1"/>
    <xf numFmtId="167" fontId="0" fillId="0" borderId="0" xfId="0" applyNumberFormat="1"/>
    <xf numFmtId="3" fontId="0" fillId="0" borderId="0" xfId="0" applyNumberFormat="1"/>
    <xf numFmtId="165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2">
    <dxf>
      <font>
        <b/>
        <color rgb="FF006300"/>
      </font>
    </dxf>
    <dxf>
      <font>
        <b/>
        <color rgb="FFD03B3B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Net value by save rate (20% discount)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'ROI Calculator'!$D$30</c:f>
              <c:strCache>
                <c:ptCount val="1"/>
                <c:pt idx="0">
                  <c:v>20.0%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'ROI Calculator'!$A$31:$A$35</c:f>
              <c:numCache>
                <c:formatCode>0.0%</c:formatCode>
                <c:ptCount val="5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</c:numCache>
            </c:numRef>
          </c:cat>
          <c:val>
            <c:numRef>
              <c:f>'ROI Calculator'!$D$31:$D$35</c:f>
              <c:numCache>
                <c:formatCode>\$#,##0</c:formatCode>
                <c:ptCount val="5"/>
                <c:pt idx="0">
                  <c:v>-106367.90000000002</c:v>
                </c:pt>
                <c:pt idx="1">
                  <c:v>18211.77999999997</c:v>
                </c:pt>
                <c:pt idx="2">
                  <c:v>142791.45999999996</c:v>
                </c:pt>
                <c:pt idx="3">
                  <c:v>267371.13999999996</c:v>
                </c:pt>
                <c:pt idx="4">
                  <c:v>391950.81999999989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163-4912-9524-5A34267DBA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Save rate</a:t>
                </a:r>
              </a:p>
            </c:rich>
          </c:tx>
          <c:overlay val="1"/>
        </c:title>
        <c:numFmt formatCode="0.0%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Net value ($)</a:t>
                </a:r>
              </a:p>
            </c:rich>
          </c:tx>
          <c:overlay val="1"/>
        </c:title>
        <c:numFmt formatCode="\$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Lift by risk decile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Lift!$E$4</c:f>
              <c:strCache>
                <c:ptCount val="1"/>
                <c:pt idx="0">
                  <c:v>Lift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Lift!$A$5:$A$14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Lift!$E$5:$E$14</c:f>
              <c:numCache>
                <c:formatCode>0.00</c:formatCode>
                <c:ptCount val="10"/>
                <c:pt idx="0">
                  <c:v>2.7908757667041701</c:v>
                </c:pt>
                <c:pt idx="1">
                  <c:v>2.2369614923964725</c:v>
                </c:pt>
                <c:pt idx="2">
                  <c:v>1.5978296374260517</c:v>
                </c:pt>
                <c:pt idx="3">
                  <c:v>1.2569593147751605</c:v>
                </c:pt>
                <c:pt idx="4">
                  <c:v>0.87348020179290831</c:v>
                </c:pt>
                <c:pt idx="5">
                  <c:v>0.5326098791420173</c:v>
                </c:pt>
                <c:pt idx="6">
                  <c:v>0.46869669364497518</c:v>
                </c:pt>
                <c:pt idx="7">
                  <c:v>0.10652197582840345</c:v>
                </c:pt>
                <c:pt idx="8">
                  <c:v>6.3913185497042072E-2</c:v>
                </c:pt>
                <c:pt idx="9">
                  <c:v>2.244570204955644E-2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B0-4F3F-9C1C-AFE00A9DAB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3</xdr:row>
      <xdr:rowOff>0</xdr:rowOff>
    </xdr:from>
    <xdr:ext cx="468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3</xdr:row>
      <xdr:rowOff>0</xdr:rowOff>
    </xdr:from>
    <xdr:ext cx="432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showGridLines="0" tabSelected="1" workbookViewId="0"/>
  </sheetViews>
  <sheetFormatPr defaultRowHeight="14.4" x14ac:dyDescent="0.3"/>
  <cols>
    <col min="1" max="1" width="46" customWidth="1"/>
    <col min="2" max="2" width="18" customWidth="1"/>
  </cols>
  <sheetData>
    <row r="1" spans="1:2" ht="18" x14ac:dyDescent="0.35">
      <c r="A1" s="1" t="s">
        <v>0</v>
      </c>
    </row>
    <row r="2" spans="1:2" x14ac:dyDescent="0.3">
      <c r="A2" s="2" t="s">
        <v>1</v>
      </c>
    </row>
    <row r="4" spans="1:2" ht="30" customHeight="1" x14ac:dyDescent="0.3">
      <c r="A4" s="3" t="s">
        <v>2</v>
      </c>
      <c r="B4" s="3" t="s">
        <v>3</v>
      </c>
    </row>
    <row r="5" spans="1:2" ht="15.6" x14ac:dyDescent="0.3">
      <c r="A5" t="s">
        <v>4</v>
      </c>
      <c r="B5" s="4">
        <f>Segments!C5+Segments!C6+Segments!C7</f>
        <v>7043</v>
      </c>
    </row>
    <row r="6" spans="1:2" ht="15.6" x14ac:dyDescent="0.3">
      <c r="A6" t="s">
        <v>5</v>
      </c>
      <c r="B6" s="4">
        <f>Segments!D5+Segments!D6+Segments!D7</f>
        <v>1869</v>
      </c>
    </row>
    <row r="7" spans="1:2" ht="15.6" x14ac:dyDescent="0.3">
      <c r="A7" t="s">
        <v>6</v>
      </c>
      <c r="B7" s="5">
        <f>B6/B5</f>
        <v>0.26536987079369589</v>
      </c>
    </row>
    <row r="8" spans="1:2" ht="15.6" x14ac:dyDescent="0.3">
      <c r="A8" t="s">
        <v>7</v>
      </c>
      <c r="B8" s="6">
        <f>Segments!E5+Segments!E6+Segments!E7</f>
        <v>139130.85</v>
      </c>
    </row>
    <row r="9" spans="1:2" ht="15.6" x14ac:dyDescent="0.3">
      <c r="A9" t="s">
        <v>8</v>
      </c>
      <c r="B9" s="6">
        <f>B8*12</f>
        <v>1669570.2000000002</v>
      </c>
    </row>
    <row r="10" spans="1:2" ht="15.6" x14ac:dyDescent="0.3">
      <c r="A10" t="s">
        <v>9</v>
      </c>
      <c r="B10" s="4">
        <f>'ROI Calculator'!B13</f>
        <v>2356</v>
      </c>
    </row>
    <row r="11" spans="1:2" ht="15.6" x14ac:dyDescent="0.3">
      <c r="A11" t="s">
        <v>10</v>
      </c>
      <c r="B11" s="6">
        <f>'ROI Calculator'!B22</f>
        <v>142791.45999999996</v>
      </c>
    </row>
    <row r="12" spans="1:2" ht="15.6" x14ac:dyDescent="0.3">
      <c r="A12" t="s">
        <v>11</v>
      </c>
      <c r="B12" s="7">
        <f>'ROI Calculator'!B23</f>
        <v>0.61828515371323634</v>
      </c>
    </row>
    <row r="13" spans="1:2" ht="15.6" x14ac:dyDescent="0.3">
      <c r="A13" t="s">
        <v>12</v>
      </c>
      <c r="B13" s="7">
        <f>'ROI Calculator'!B24</f>
        <v>0.18538142014813336</v>
      </c>
    </row>
    <row r="14" spans="1:2" ht="15.6" x14ac:dyDescent="0.3">
      <c r="A14" t="s">
        <v>13</v>
      </c>
      <c r="B14" s="6">
        <f>'Risk bands'!F5</f>
        <v>81604.37</v>
      </c>
    </row>
    <row r="16" spans="1:2" x14ac:dyDescent="0.3">
      <c r="A16" s="8" t="s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5"/>
  <sheetViews>
    <sheetView workbookViewId="0"/>
  </sheetViews>
  <sheetFormatPr defaultRowHeight="14.4" x14ac:dyDescent="0.3"/>
  <cols>
    <col min="1" max="1" width="46" customWidth="1"/>
    <col min="2" max="2" width="40" customWidth="1"/>
    <col min="3" max="6" width="12" customWidth="1"/>
  </cols>
  <sheetData>
    <row r="1" spans="1:2" ht="18" x14ac:dyDescent="0.35">
      <c r="A1" s="1" t="s">
        <v>15</v>
      </c>
    </row>
    <row r="2" spans="1:2" x14ac:dyDescent="0.3">
      <c r="A2" s="2" t="s">
        <v>16</v>
      </c>
    </row>
    <row r="4" spans="1:2" x14ac:dyDescent="0.3">
      <c r="A4" s="9" t="s">
        <v>17</v>
      </c>
    </row>
    <row r="5" spans="1:2" x14ac:dyDescent="0.3">
      <c r="A5" t="s">
        <v>18</v>
      </c>
      <c r="B5" s="10" t="s">
        <v>19</v>
      </c>
    </row>
    <row r="6" spans="1:2" x14ac:dyDescent="0.3">
      <c r="A6" t="s">
        <v>20</v>
      </c>
      <c r="B6" s="11">
        <v>0.2</v>
      </c>
    </row>
    <row r="7" spans="1:2" x14ac:dyDescent="0.3">
      <c r="A7" t="s">
        <v>21</v>
      </c>
      <c r="B7" s="12">
        <v>6</v>
      </c>
    </row>
    <row r="8" spans="1:2" x14ac:dyDescent="0.3">
      <c r="A8" t="s">
        <v>22</v>
      </c>
      <c r="B8" s="13">
        <v>5</v>
      </c>
    </row>
    <row r="9" spans="1:2" x14ac:dyDescent="0.3">
      <c r="A9" t="s">
        <v>23</v>
      </c>
      <c r="B9" s="11">
        <v>0.3</v>
      </c>
    </row>
    <row r="10" spans="1:2" x14ac:dyDescent="0.3">
      <c r="A10" t="s">
        <v>24</v>
      </c>
      <c r="B10" s="12">
        <v>12</v>
      </c>
    </row>
    <row r="12" spans="1:2" x14ac:dyDescent="0.3">
      <c r="A12" s="9" t="s">
        <v>25</v>
      </c>
    </row>
    <row r="13" spans="1:2" x14ac:dyDescent="0.3">
      <c r="A13" t="s">
        <v>26</v>
      </c>
      <c r="B13" s="14">
        <f>INDEX(Groups!B$5:B$8,MATCH($B$5,Groups!$A$5:$A$8,0))</f>
        <v>2356</v>
      </c>
    </row>
    <row r="14" spans="1:2" x14ac:dyDescent="0.3">
      <c r="A14" t="s">
        <v>27</v>
      </c>
      <c r="B14" s="14">
        <f>INDEX(Groups!C$5:C$8,MATCH($B$5,Groups!$A$5:$A$8,0))</f>
        <v>1325</v>
      </c>
    </row>
    <row r="15" spans="1:2" x14ac:dyDescent="0.3">
      <c r="A15" t="s">
        <v>28</v>
      </c>
      <c r="B15" s="15">
        <f>INDEX(Groups!E$5:E$8,MATCH($B$5,Groups!$A$5:$A$8,0))</f>
        <v>103816.4</v>
      </c>
    </row>
    <row r="16" spans="1:2" x14ac:dyDescent="0.3">
      <c r="A16" t="s">
        <v>29</v>
      </c>
      <c r="B16" s="15">
        <f>INDEX(Groups!F$5:F$8,MATCH($B$5,Groups!$A$5:$A$8,0))</f>
        <v>182639.65</v>
      </c>
    </row>
    <row r="18" spans="1:6" x14ac:dyDescent="0.3">
      <c r="A18" s="9" t="s">
        <v>30</v>
      </c>
    </row>
    <row r="19" spans="1:6" x14ac:dyDescent="0.3">
      <c r="A19" t="s">
        <v>31</v>
      </c>
      <c r="B19" s="16">
        <f>B14*B9</f>
        <v>397.5</v>
      </c>
    </row>
    <row r="20" spans="1:6" x14ac:dyDescent="0.3">
      <c r="A20" t="s">
        <v>32</v>
      </c>
      <c r="B20" s="17">
        <f>B9*B15*B10</f>
        <v>373739.04</v>
      </c>
    </row>
    <row r="21" spans="1:6" x14ac:dyDescent="0.3">
      <c r="A21" t="s">
        <v>33</v>
      </c>
      <c r="B21" s="17">
        <f>B8*B13+B6*B7*B16</f>
        <v>230947.58000000002</v>
      </c>
    </row>
    <row r="22" spans="1:6" x14ac:dyDescent="0.3">
      <c r="A22" t="s">
        <v>34</v>
      </c>
      <c r="B22" s="17">
        <f>B20-B21</f>
        <v>142791.45999999996</v>
      </c>
    </row>
    <row r="23" spans="1:6" x14ac:dyDescent="0.3">
      <c r="A23" t="s">
        <v>35</v>
      </c>
      <c r="B23" s="18">
        <f>IF(B21=0,0,B22/B21)</f>
        <v>0.61828515371323634</v>
      </c>
    </row>
    <row r="24" spans="1:6" x14ac:dyDescent="0.3">
      <c r="A24" t="s">
        <v>36</v>
      </c>
      <c r="B24" s="18">
        <f>IF(B15=0,"n/a",B21/(B15*B10))</f>
        <v>0.18538142014813336</v>
      </c>
    </row>
    <row r="25" spans="1:6" x14ac:dyDescent="0.3">
      <c r="A25" t="s">
        <v>37</v>
      </c>
      <c r="B25" s="19">
        <f>IF(B19=0,"n/a",B21/B19)</f>
        <v>581.0002012578617</v>
      </c>
    </row>
    <row r="28" spans="1:6" x14ac:dyDescent="0.3">
      <c r="A28" s="9" t="s">
        <v>38</v>
      </c>
    </row>
    <row r="29" spans="1:6" ht="30" customHeight="1" x14ac:dyDescent="0.3">
      <c r="A29" s="3" t="s">
        <v>39</v>
      </c>
      <c r="B29" s="3" t="s">
        <v>40</v>
      </c>
      <c r="C29" s="3" t="s">
        <v>41</v>
      </c>
      <c r="D29" s="3" t="s">
        <v>42</v>
      </c>
      <c r="E29" s="3" t="s">
        <v>43</v>
      </c>
      <c r="F29" s="3" t="s">
        <v>44</v>
      </c>
    </row>
    <row r="30" spans="1:6" x14ac:dyDescent="0.3">
      <c r="A30" s="8" t="s">
        <v>45</v>
      </c>
      <c r="B30" s="20">
        <v>0.1</v>
      </c>
      <c r="C30" s="20">
        <v>0.15</v>
      </c>
      <c r="D30" s="20">
        <v>0.2</v>
      </c>
      <c r="E30" s="20">
        <v>0.25</v>
      </c>
      <c r="F30" s="20">
        <v>0.3</v>
      </c>
    </row>
    <row r="31" spans="1:6" x14ac:dyDescent="0.3">
      <c r="A31" s="20">
        <v>0.1</v>
      </c>
      <c r="B31" s="21">
        <f t="shared" ref="B31:F35" si="0">$A31*$B$15*$B$10-($B$8*$B$13+B$30*$B$7*$B$16)</f>
        <v>3215.8899999999849</v>
      </c>
      <c r="C31" s="21">
        <f t="shared" si="0"/>
        <v>-51576.004999999976</v>
      </c>
      <c r="D31" s="21">
        <f t="shared" si="0"/>
        <v>-106367.90000000002</v>
      </c>
      <c r="E31" s="21">
        <f t="shared" si="0"/>
        <v>-161159.79499999998</v>
      </c>
      <c r="F31" s="21">
        <f t="shared" si="0"/>
        <v>-215951.68999999994</v>
      </c>
    </row>
    <row r="32" spans="1:6" x14ac:dyDescent="0.3">
      <c r="A32" s="20">
        <v>0.2</v>
      </c>
      <c r="B32" s="21">
        <f t="shared" si="0"/>
        <v>127795.56999999998</v>
      </c>
      <c r="C32" s="21">
        <f t="shared" si="0"/>
        <v>73003.675000000017</v>
      </c>
      <c r="D32" s="21">
        <f t="shared" si="0"/>
        <v>18211.77999999997</v>
      </c>
      <c r="E32" s="21">
        <f t="shared" si="0"/>
        <v>-36580.114999999991</v>
      </c>
      <c r="F32" s="21">
        <f t="shared" si="0"/>
        <v>-91372.009999999951</v>
      </c>
    </row>
    <row r="33" spans="1:6" x14ac:dyDescent="0.3">
      <c r="A33" s="20">
        <v>0.3</v>
      </c>
      <c r="B33" s="21">
        <f t="shared" si="0"/>
        <v>252375.24999999997</v>
      </c>
      <c r="C33" s="21">
        <f t="shared" si="0"/>
        <v>197583.35500000001</v>
      </c>
      <c r="D33" s="21">
        <f t="shared" si="0"/>
        <v>142791.45999999996</v>
      </c>
      <c r="E33" s="21">
        <f t="shared" si="0"/>
        <v>87999.565000000002</v>
      </c>
      <c r="F33" s="21">
        <f t="shared" si="0"/>
        <v>33207.670000000042</v>
      </c>
    </row>
    <row r="34" spans="1:6" x14ac:dyDescent="0.3">
      <c r="A34" s="20">
        <v>0.4</v>
      </c>
      <c r="B34" s="21">
        <f t="shared" si="0"/>
        <v>376954.92999999993</v>
      </c>
      <c r="C34" s="21">
        <f t="shared" si="0"/>
        <v>322163.03500000003</v>
      </c>
      <c r="D34" s="21">
        <f t="shared" si="0"/>
        <v>267371.13999999996</v>
      </c>
      <c r="E34" s="21">
        <f t="shared" si="0"/>
        <v>212579.245</v>
      </c>
      <c r="F34" s="21">
        <f t="shared" si="0"/>
        <v>157787.35000000003</v>
      </c>
    </row>
    <row r="35" spans="1:6" x14ac:dyDescent="0.3">
      <c r="A35" s="20">
        <v>0.5</v>
      </c>
      <c r="B35" s="21">
        <f t="shared" si="0"/>
        <v>501534.60999999987</v>
      </c>
      <c r="C35" s="21">
        <f t="shared" si="0"/>
        <v>446742.71499999997</v>
      </c>
      <c r="D35" s="21">
        <f t="shared" si="0"/>
        <v>391950.81999999989</v>
      </c>
      <c r="E35" s="21">
        <f t="shared" si="0"/>
        <v>337158.92499999993</v>
      </c>
      <c r="F35" s="21">
        <f t="shared" si="0"/>
        <v>282367.02999999997</v>
      </c>
    </row>
  </sheetData>
  <conditionalFormatting sqref="B22">
    <cfRule type="cellIs" dxfId="1" priority="1" operator="lessThan">
      <formula>0</formula>
    </cfRule>
    <cfRule type="cellIs" dxfId="0" priority="2" operator="greaterThanOrEqual">
      <formula>0</formula>
    </cfRule>
  </conditionalFormatting>
  <conditionalFormatting sqref="B31:F35">
    <cfRule type="colorScale" priority="3">
      <colorScale>
        <cfvo type="min"/>
        <cfvo type="num" val="0"/>
        <cfvo type="max"/>
        <color rgb="FFD03B3B"/>
        <color rgb="FFFFFFFF"/>
        <color rgb="FF2A78D6"/>
      </colorScale>
    </cfRule>
  </conditionalFormatting>
  <dataValidations count="3">
    <dataValidation type="decimal" showErrorMessage="1" error="Enter 0%-100%" sqref="B6 B9" xr:uid="{00000000-0002-0000-0100-000001000000}">
      <formula1>0</formula1>
      <formula2>1</formula2>
    </dataValidation>
    <dataValidation type="whole" showErrorMessage="1" error="Enter 1-60 months" sqref="B7 B10" xr:uid="{00000000-0002-0000-0100-000002000000}">
      <formula1>1</formula1>
      <formula2>60</formula2>
    </dataValidation>
    <dataValidation type="decimal" showErrorMessage="1" error="Enter $0-500" sqref="B8" xr:uid="{00000000-0002-0000-0100-000003000000}">
      <formula1>0</formula1>
      <formula2>500</formula2>
    </dataValidation>
  </dataValidations>
  <pageMargins left="0.75" right="0.75" top="1" bottom="1" header="0.5" footer="0.5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100-000000000000}">
          <x14:formula1>
            <xm:f>Groups!$A$5:$A$8</xm:f>
          </x14:formula1>
          <xm:sqref>B5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"/>
  <sheetViews>
    <sheetView workbookViewId="0"/>
  </sheetViews>
  <sheetFormatPr defaultRowHeight="14.4" x14ac:dyDescent="0.3"/>
  <cols>
    <col min="1" max="1" width="44" customWidth="1"/>
    <col min="2" max="2" width="11" customWidth="1"/>
    <col min="3" max="3" width="10" customWidth="1"/>
    <col min="4" max="4" width="11" customWidth="1"/>
    <col min="5" max="6" width="15" customWidth="1"/>
  </cols>
  <sheetData>
    <row r="1" spans="1:6" ht="18" x14ac:dyDescent="0.35">
      <c r="A1" s="1" t="s">
        <v>46</v>
      </c>
    </row>
    <row r="2" spans="1:6" x14ac:dyDescent="0.3">
      <c r="A2" s="2" t="s">
        <v>47</v>
      </c>
    </row>
    <row r="4" spans="1:6" ht="30" customHeight="1" x14ac:dyDescent="0.3">
      <c r="A4" s="3" t="s">
        <v>48</v>
      </c>
      <c r="B4" s="3" t="s">
        <v>4</v>
      </c>
      <c r="C4" s="3" t="s">
        <v>49</v>
      </c>
      <c r="D4" s="3" t="s">
        <v>6</v>
      </c>
      <c r="E4" s="3" t="s">
        <v>28</v>
      </c>
      <c r="F4" s="3" t="s">
        <v>29</v>
      </c>
    </row>
    <row r="5" spans="1:6" x14ac:dyDescent="0.3">
      <c r="A5" t="s">
        <v>19</v>
      </c>
      <c r="B5" s="22">
        <v>2356</v>
      </c>
      <c r="C5" s="22">
        <v>1325</v>
      </c>
      <c r="D5" s="20">
        <f>C5/B5</f>
        <v>0.56239388794567058</v>
      </c>
      <c r="E5" s="23">
        <v>103816.4</v>
      </c>
      <c r="F5" s="23">
        <v>182639.65</v>
      </c>
    </row>
    <row r="6" spans="1:6" x14ac:dyDescent="0.3">
      <c r="A6" t="s">
        <v>50</v>
      </c>
      <c r="B6" s="22">
        <v>916</v>
      </c>
      <c r="C6" s="22">
        <v>643</v>
      </c>
      <c r="D6" s="20">
        <f>C6/B6</f>
        <v>0.70196506550218341</v>
      </c>
      <c r="E6" s="23">
        <v>53178.3</v>
      </c>
      <c r="F6" s="23">
        <v>75183.149999999994</v>
      </c>
    </row>
    <row r="7" spans="1:6" x14ac:dyDescent="0.3">
      <c r="A7" t="s">
        <v>51</v>
      </c>
      <c r="B7" s="22">
        <v>3875</v>
      </c>
      <c r="C7" s="22">
        <v>1655</v>
      </c>
      <c r="D7" s="20">
        <f>C7/B7</f>
        <v>0.42709677419354841</v>
      </c>
      <c r="E7" s="23">
        <v>120847.1</v>
      </c>
      <c r="F7" s="23">
        <v>257294.15</v>
      </c>
    </row>
    <row r="8" spans="1:6" x14ac:dyDescent="0.3">
      <c r="A8" t="s">
        <v>52</v>
      </c>
      <c r="B8" s="22">
        <v>7043</v>
      </c>
      <c r="C8" s="22">
        <v>1869</v>
      </c>
      <c r="D8" s="20">
        <f>C8/B8</f>
        <v>0.26536987079369589</v>
      </c>
      <c r="E8" s="23">
        <v>139130.85</v>
      </c>
      <c r="F8" s="23">
        <v>456116.6</v>
      </c>
    </row>
    <row r="10" spans="1:6" x14ac:dyDescent="0.3">
      <c r="A10" s="8" t="s">
        <v>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5"/>
  <sheetViews>
    <sheetView workbookViewId="0">
      <pane ySplit="4" topLeftCell="A5" activePane="bottomLeft" state="frozen"/>
      <selection pane="bottomLeft"/>
    </sheetView>
  </sheetViews>
  <sheetFormatPr defaultRowHeight="14.4" x14ac:dyDescent="0.3"/>
  <cols>
    <col min="1" max="1" width="18" customWidth="1"/>
    <col min="2" max="2" width="26" customWidth="1"/>
    <col min="3" max="3" width="11" customWidth="1"/>
    <col min="4" max="4" width="10" customWidth="1"/>
    <col min="5" max="5" width="13" customWidth="1"/>
    <col min="6" max="6" width="11" customWidth="1"/>
    <col min="7" max="8" width="10" customWidth="1"/>
    <col min="9" max="9" width="15" customWidth="1"/>
  </cols>
  <sheetData>
    <row r="1" spans="1:9" ht="18" x14ac:dyDescent="0.35">
      <c r="A1" s="1" t="s">
        <v>54</v>
      </c>
    </row>
    <row r="2" spans="1:9" x14ac:dyDescent="0.3">
      <c r="A2" s="2" t="s">
        <v>55</v>
      </c>
    </row>
    <row r="3" spans="1:9" x14ac:dyDescent="0.3">
      <c r="A3" t="s">
        <v>56</v>
      </c>
      <c r="B3" t="e">
        <f ca="1">_xludf.NORM.S.INV(0.975)</f>
        <v>#NAME?</v>
      </c>
    </row>
    <row r="4" spans="1:9" ht="30" customHeight="1" x14ac:dyDescent="0.3">
      <c r="A4" s="3" t="s">
        <v>57</v>
      </c>
      <c r="B4" s="3" t="s">
        <v>58</v>
      </c>
      <c r="C4" s="3" t="s">
        <v>4</v>
      </c>
      <c r="D4" s="3" t="s">
        <v>59</v>
      </c>
      <c r="E4" s="3" t="s">
        <v>60</v>
      </c>
      <c r="F4" s="3" t="s">
        <v>6</v>
      </c>
      <c r="G4" s="3" t="s">
        <v>61</v>
      </c>
      <c r="H4" s="3" t="s">
        <v>62</v>
      </c>
      <c r="I4" s="3" t="s">
        <v>63</v>
      </c>
    </row>
    <row r="5" spans="1:9" x14ac:dyDescent="0.3">
      <c r="A5" t="s">
        <v>64</v>
      </c>
      <c r="B5" t="s">
        <v>65</v>
      </c>
      <c r="C5" s="22">
        <v>3875</v>
      </c>
      <c r="D5" s="22">
        <v>1655</v>
      </c>
      <c r="E5" s="21">
        <v>120847.1</v>
      </c>
      <c r="F5" s="20">
        <f t="shared" ref="F5:F36" si="0">D5/C5</f>
        <v>0.42709677419354841</v>
      </c>
      <c r="G5" s="20" t="e">
        <f t="shared" ref="G5:G36" ca="1" si="1">(F5+$B$3^2/(2*C5)-$B$3*SQRT(F5*(1-F5)/C5+$B$3^2/(4*C5^2)))/(1+$B$3^2/C5)</f>
        <v>#NAME?</v>
      </c>
      <c r="H5" s="20" t="e">
        <f t="shared" ref="H5:H36" ca="1" si="2">(F5+$B$3^2/(2*C5)+$B$3*SQRT(F5*(1-F5)/C5+$B$3^2/(4*C5^2)))/(1+$B$3^2/C5)</f>
        <v>#NAME?</v>
      </c>
      <c r="I5" s="20">
        <f t="shared" ref="I5:I36" si="3">E5/SUMIF($A$5:$A$55,A5,$E$5:$E$55)</f>
        <v>0.86858593906383808</v>
      </c>
    </row>
    <row r="6" spans="1:9" x14ac:dyDescent="0.3">
      <c r="A6" t="s">
        <v>64</v>
      </c>
      <c r="B6" t="s">
        <v>66</v>
      </c>
      <c r="C6" s="22">
        <v>1473</v>
      </c>
      <c r="D6" s="22">
        <v>166</v>
      </c>
      <c r="E6" s="21">
        <v>14118.45</v>
      </c>
      <c r="F6" s="20">
        <f t="shared" si="0"/>
        <v>0.11269517990495587</v>
      </c>
      <c r="G6" s="20" t="e">
        <f t="shared" ca="1" si="1"/>
        <v>#NAME?</v>
      </c>
      <c r="H6" s="20" t="e">
        <f t="shared" ca="1" si="2"/>
        <v>#NAME?</v>
      </c>
      <c r="I6" s="20">
        <f t="shared" si="3"/>
        <v>0.10147605653239379</v>
      </c>
    </row>
    <row r="7" spans="1:9" x14ac:dyDescent="0.3">
      <c r="A7" t="s">
        <v>64</v>
      </c>
      <c r="B7" t="s">
        <v>67</v>
      </c>
      <c r="C7" s="22">
        <v>1695</v>
      </c>
      <c r="D7" s="22">
        <v>48</v>
      </c>
      <c r="E7" s="21">
        <v>4165.3</v>
      </c>
      <c r="F7" s="20">
        <f t="shared" si="0"/>
        <v>2.831858407079646E-2</v>
      </c>
      <c r="G7" s="20" t="e">
        <f t="shared" ca="1" si="1"/>
        <v>#NAME?</v>
      </c>
      <c r="H7" s="20" t="e">
        <f t="shared" ca="1" si="2"/>
        <v>#NAME?</v>
      </c>
      <c r="I7" s="20">
        <f t="shared" si="3"/>
        <v>2.9938004403768106E-2</v>
      </c>
    </row>
    <row r="8" spans="1:9" x14ac:dyDescent="0.3">
      <c r="A8" t="s">
        <v>68</v>
      </c>
      <c r="B8" t="s">
        <v>69</v>
      </c>
      <c r="C8" s="22">
        <v>2186</v>
      </c>
      <c r="D8" s="22">
        <v>1037</v>
      </c>
      <c r="E8" s="21">
        <v>68954.25</v>
      </c>
      <c r="F8" s="20">
        <f t="shared" si="0"/>
        <v>0.47438243366880145</v>
      </c>
      <c r="G8" s="20" t="e">
        <f t="shared" ca="1" si="1"/>
        <v>#NAME?</v>
      </c>
      <c r="H8" s="20" t="e">
        <f t="shared" ca="1" si="2"/>
        <v>#NAME?</v>
      </c>
      <c r="I8" s="20">
        <f t="shared" si="3"/>
        <v>0.49560719279728399</v>
      </c>
    </row>
    <row r="9" spans="1:9" x14ac:dyDescent="0.3">
      <c r="A9" t="s">
        <v>68</v>
      </c>
      <c r="B9" t="s">
        <v>70</v>
      </c>
      <c r="C9" s="22">
        <v>1024</v>
      </c>
      <c r="D9" s="22">
        <v>294</v>
      </c>
      <c r="E9" s="21">
        <v>23081.65</v>
      </c>
      <c r="F9" s="20">
        <f t="shared" si="0"/>
        <v>0.287109375</v>
      </c>
      <c r="G9" s="20" t="e">
        <f t="shared" ca="1" si="1"/>
        <v>#NAME?</v>
      </c>
      <c r="H9" s="20" t="e">
        <f t="shared" ca="1" si="2"/>
        <v>#NAME?</v>
      </c>
      <c r="I9" s="20">
        <f t="shared" si="3"/>
        <v>0.16589886427057696</v>
      </c>
    </row>
    <row r="10" spans="1:9" x14ac:dyDescent="0.3">
      <c r="A10" t="s">
        <v>68</v>
      </c>
      <c r="B10" t="s">
        <v>71</v>
      </c>
      <c r="C10" s="22">
        <v>1594</v>
      </c>
      <c r="D10" s="22">
        <v>325</v>
      </c>
      <c r="E10" s="21">
        <v>27462.5</v>
      </c>
      <c r="F10" s="20">
        <f t="shared" si="0"/>
        <v>0.20388958594730239</v>
      </c>
      <c r="G10" s="20" t="e">
        <f t="shared" ca="1" si="1"/>
        <v>#NAME?</v>
      </c>
      <c r="H10" s="20" t="e">
        <f t="shared" ca="1" si="2"/>
        <v>#NAME?</v>
      </c>
      <c r="I10" s="20">
        <f t="shared" si="3"/>
        <v>0.19738612967576924</v>
      </c>
    </row>
    <row r="11" spans="1:9" x14ac:dyDescent="0.3">
      <c r="A11" t="s">
        <v>68</v>
      </c>
      <c r="B11" t="s">
        <v>72</v>
      </c>
      <c r="C11" s="22">
        <v>2239</v>
      </c>
      <c r="D11" s="22">
        <v>213</v>
      </c>
      <c r="E11" s="21">
        <v>19632.45</v>
      </c>
      <c r="F11" s="20">
        <f t="shared" si="0"/>
        <v>9.5131755247878522E-2</v>
      </c>
      <c r="G11" s="20" t="e">
        <f t="shared" ca="1" si="1"/>
        <v>#NAME?</v>
      </c>
      <c r="H11" s="20" t="e">
        <f t="shared" ca="1" si="2"/>
        <v>#NAME?</v>
      </c>
      <c r="I11" s="20">
        <f t="shared" si="3"/>
        <v>0.14110781325636981</v>
      </c>
    </row>
    <row r="12" spans="1:9" x14ac:dyDescent="0.3">
      <c r="A12" t="s">
        <v>73</v>
      </c>
      <c r="B12" t="s">
        <v>74</v>
      </c>
      <c r="C12" s="22">
        <v>2421</v>
      </c>
      <c r="D12" s="22">
        <v>459</v>
      </c>
      <c r="E12" s="21">
        <v>22529.200000000001</v>
      </c>
      <c r="F12" s="20">
        <f t="shared" si="0"/>
        <v>0.1895910780669145</v>
      </c>
      <c r="G12" s="20" t="e">
        <f t="shared" ca="1" si="1"/>
        <v>#NAME?</v>
      </c>
      <c r="H12" s="20" t="e">
        <f t="shared" ca="1" si="2"/>
        <v>#NAME?</v>
      </c>
      <c r="I12" s="20">
        <f t="shared" si="3"/>
        <v>0.16192814174570197</v>
      </c>
    </row>
    <row r="13" spans="1:9" x14ac:dyDescent="0.3">
      <c r="A13" t="s">
        <v>73</v>
      </c>
      <c r="B13" t="s">
        <v>75</v>
      </c>
      <c r="C13" s="22">
        <v>3096</v>
      </c>
      <c r="D13" s="22">
        <v>1297</v>
      </c>
      <c r="E13" s="21">
        <v>114300.05</v>
      </c>
      <c r="F13" s="20">
        <f t="shared" si="0"/>
        <v>0.41892764857881137</v>
      </c>
      <c r="G13" s="20" t="e">
        <f t="shared" ca="1" si="1"/>
        <v>#NAME?</v>
      </c>
      <c r="H13" s="20" t="e">
        <f t="shared" ca="1" si="2"/>
        <v>#NAME?</v>
      </c>
      <c r="I13" s="20">
        <f t="shared" si="3"/>
        <v>0.8215291576239202</v>
      </c>
    </row>
    <row r="14" spans="1:9" x14ac:dyDescent="0.3">
      <c r="A14" t="s">
        <v>73</v>
      </c>
      <c r="B14" t="s">
        <v>76</v>
      </c>
      <c r="C14" s="22">
        <v>1526</v>
      </c>
      <c r="D14" s="22">
        <v>113</v>
      </c>
      <c r="E14" s="21">
        <v>2301.6</v>
      </c>
      <c r="F14" s="20">
        <f t="shared" si="0"/>
        <v>7.4049803407601575E-2</v>
      </c>
      <c r="G14" s="20" t="e">
        <f t="shared" ca="1" si="1"/>
        <v>#NAME?</v>
      </c>
      <c r="H14" s="20" t="e">
        <f t="shared" ca="1" si="2"/>
        <v>#NAME?</v>
      </c>
      <c r="I14" s="20">
        <f t="shared" si="3"/>
        <v>1.6542700630377806E-2</v>
      </c>
    </row>
    <row r="15" spans="1:9" x14ac:dyDescent="0.3">
      <c r="A15" t="s">
        <v>77</v>
      </c>
      <c r="B15" t="s">
        <v>78</v>
      </c>
      <c r="C15" s="22">
        <v>1544</v>
      </c>
      <c r="D15" s="22">
        <v>258</v>
      </c>
      <c r="E15" s="21">
        <v>20091.900000000001</v>
      </c>
      <c r="F15" s="20">
        <f t="shared" si="0"/>
        <v>0.16709844559585493</v>
      </c>
      <c r="G15" s="20" t="e">
        <f t="shared" ca="1" si="1"/>
        <v>#NAME?</v>
      </c>
      <c r="H15" s="20" t="e">
        <f t="shared" ca="1" si="2"/>
        <v>#NAME?</v>
      </c>
      <c r="I15" s="20">
        <f t="shared" si="3"/>
        <v>0.14441010027610698</v>
      </c>
    </row>
    <row r="16" spans="1:9" x14ac:dyDescent="0.3">
      <c r="A16" t="s">
        <v>77</v>
      </c>
      <c r="B16" t="s">
        <v>79</v>
      </c>
      <c r="C16" s="22">
        <v>1522</v>
      </c>
      <c r="D16" s="22">
        <v>232</v>
      </c>
      <c r="E16" s="21">
        <v>17946.599999999999</v>
      </c>
      <c r="F16" s="20">
        <f t="shared" si="0"/>
        <v>0.15243101182654403</v>
      </c>
      <c r="G16" s="20" t="e">
        <f t="shared" ca="1" si="1"/>
        <v>#NAME?</v>
      </c>
      <c r="H16" s="20" t="e">
        <f t="shared" ca="1" si="2"/>
        <v>#NAME?</v>
      </c>
      <c r="I16" s="20">
        <f t="shared" si="3"/>
        <v>0.12899080254307366</v>
      </c>
    </row>
    <row r="17" spans="1:9" x14ac:dyDescent="0.3">
      <c r="A17" t="s">
        <v>77</v>
      </c>
      <c r="B17" t="s">
        <v>80</v>
      </c>
      <c r="C17" s="22">
        <v>2365</v>
      </c>
      <c r="D17" s="22">
        <v>1071</v>
      </c>
      <c r="E17" s="21">
        <v>84288.75</v>
      </c>
      <c r="F17" s="20">
        <f t="shared" si="0"/>
        <v>0.45285412262156449</v>
      </c>
      <c r="G17" s="20" t="e">
        <f t="shared" ca="1" si="1"/>
        <v>#NAME?</v>
      </c>
      <c r="H17" s="20" t="e">
        <f t="shared" ca="1" si="2"/>
        <v>#NAME?</v>
      </c>
      <c r="I17" s="20">
        <f t="shared" si="3"/>
        <v>0.6058235826202456</v>
      </c>
    </row>
    <row r="18" spans="1:9" x14ac:dyDescent="0.3">
      <c r="A18" t="s">
        <v>77</v>
      </c>
      <c r="B18" t="s">
        <v>81</v>
      </c>
      <c r="C18" s="22">
        <v>1612</v>
      </c>
      <c r="D18" s="22">
        <v>308</v>
      </c>
      <c r="E18" s="21">
        <v>16803.599999999999</v>
      </c>
      <c r="F18" s="20">
        <f t="shared" si="0"/>
        <v>0.19106699751861042</v>
      </c>
      <c r="G18" s="20" t="e">
        <f t="shared" ca="1" si="1"/>
        <v>#NAME?</v>
      </c>
      <c r="H18" s="20" t="e">
        <f t="shared" ca="1" si="2"/>
        <v>#NAME?</v>
      </c>
      <c r="I18" s="20">
        <f t="shared" si="3"/>
        <v>0.12077551456057371</v>
      </c>
    </row>
    <row r="19" spans="1:9" x14ac:dyDescent="0.3">
      <c r="A19" t="s">
        <v>82</v>
      </c>
      <c r="B19" t="s">
        <v>83</v>
      </c>
      <c r="C19" s="22">
        <v>1731</v>
      </c>
      <c r="D19" s="22">
        <v>188</v>
      </c>
      <c r="E19" s="21">
        <v>4423.05</v>
      </c>
      <c r="F19" s="20">
        <f t="shared" si="0"/>
        <v>0.10860774119006354</v>
      </c>
      <c r="G19" s="20" t="e">
        <f t="shared" ca="1" si="1"/>
        <v>#NAME?</v>
      </c>
      <c r="H19" s="20" t="e">
        <f t="shared" ca="1" si="2"/>
        <v>#NAME?</v>
      </c>
      <c r="I19" s="20">
        <f t="shared" si="3"/>
        <v>3.1790576999996767E-2</v>
      </c>
    </row>
    <row r="20" spans="1:9" x14ac:dyDescent="0.3">
      <c r="A20" t="s">
        <v>82</v>
      </c>
      <c r="B20" t="s">
        <v>84</v>
      </c>
      <c r="C20" s="22">
        <v>1721</v>
      </c>
      <c r="D20" s="22">
        <v>407</v>
      </c>
      <c r="E20" s="21">
        <v>21726.799999999999</v>
      </c>
      <c r="F20" s="20">
        <f t="shared" si="0"/>
        <v>0.23649041255084252</v>
      </c>
      <c r="G20" s="20" t="e">
        <f t="shared" ca="1" si="1"/>
        <v>#NAME?</v>
      </c>
      <c r="H20" s="20" t="e">
        <f t="shared" ca="1" si="2"/>
        <v>#NAME?</v>
      </c>
      <c r="I20" s="20">
        <f t="shared" si="3"/>
        <v>0.15616090895728732</v>
      </c>
    </row>
    <row r="21" spans="1:9" x14ac:dyDescent="0.3">
      <c r="A21" t="s">
        <v>82</v>
      </c>
      <c r="B21" t="s">
        <v>85</v>
      </c>
      <c r="C21" s="22">
        <v>1847</v>
      </c>
      <c r="D21" s="22">
        <v>701</v>
      </c>
      <c r="E21" s="21">
        <v>55926.9</v>
      </c>
      <c r="F21" s="20">
        <f t="shared" si="0"/>
        <v>0.37953438007579859</v>
      </c>
      <c r="G21" s="20" t="e">
        <f t="shared" ca="1" si="1"/>
        <v>#NAME?</v>
      </c>
      <c r="H21" s="20" t="e">
        <f t="shared" ca="1" si="2"/>
        <v>#NAME?</v>
      </c>
      <c r="I21" s="20">
        <f t="shared" si="3"/>
        <v>0.40197339411065197</v>
      </c>
    </row>
    <row r="22" spans="1:9" x14ac:dyDescent="0.3">
      <c r="A22" t="s">
        <v>82</v>
      </c>
      <c r="B22" t="s">
        <v>86</v>
      </c>
      <c r="C22" s="22">
        <v>1744</v>
      </c>
      <c r="D22" s="22">
        <v>573</v>
      </c>
      <c r="E22" s="21">
        <v>57054.1</v>
      </c>
      <c r="F22" s="20">
        <f t="shared" si="0"/>
        <v>0.32855504587155965</v>
      </c>
      <c r="G22" s="20" t="e">
        <f t="shared" ca="1" si="1"/>
        <v>#NAME?</v>
      </c>
      <c r="H22" s="20" t="e">
        <f t="shared" ca="1" si="2"/>
        <v>#NAME?</v>
      </c>
      <c r="I22" s="20">
        <f t="shared" si="3"/>
        <v>0.41007511993206391</v>
      </c>
    </row>
    <row r="23" spans="1:9" x14ac:dyDescent="0.3">
      <c r="A23" t="s">
        <v>87</v>
      </c>
      <c r="B23" t="s">
        <v>76</v>
      </c>
      <c r="C23" s="22">
        <v>3473</v>
      </c>
      <c r="D23" s="22">
        <v>1446</v>
      </c>
      <c r="E23" s="21">
        <v>110709.8</v>
      </c>
      <c r="F23" s="20">
        <f t="shared" si="0"/>
        <v>0.41635473653901528</v>
      </c>
      <c r="G23" s="20" t="e">
        <f t="shared" ca="1" si="1"/>
        <v>#NAME?</v>
      </c>
      <c r="H23" s="20" t="e">
        <f t="shared" ca="1" si="2"/>
        <v>#NAME?</v>
      </c>
      <c r="I23" s="20">
        <f t="shared" si="3"/>
        <v>0.79572431276025413</v>
      </c>
    </row>
    <row r="24" spans="1:9" x14ac:dyDescent="0.3">
      <c r="A24" t="s">
        <v>87</v>
      </c>
      <c r="B24" t="s">
        <v>88</v>
      </c>
      <c r="C24" s="22">
        <v>1526</v>
      </c>
      <c r="D24" s="22">
        <v>113</v>
      </c>
      <c r="E24" s="21">
        <v>2301.6</v>
      </c>
      <c r="F24" s="20">
        <f t="shared" si="0"/>
        <v>7.4049803407601575E-2</v>
      </c>
      <c r="G24" s="20" t="e">
        <f t="shared" ca="1" si="1"/>
        <v>#NAME?</v>
      </c>
      <c r="H24" s="20" t="e">
        <f t="shared" ca="1" si="2"/>
        <v>#NAME?</v>
      </c>
      <c r="I24" s="20">
        <f t="shared" si="3"/>
        <v>1.6542700630377806E-2</v>
      </c>
    </row>
    <row r="25" spans="1:9" x14ac:dyDescent="0.3">
      <c r="A25" t="s">
        <v>87</v>
      </c>
      <c r="B25" t="s">
        <v>89</v>
      </c>
      <c r="C25" s="22">
        <v>2044</v>
      </c>
      <c r="D25" s="22">
        <v>310</v>
      </c>
      <c r="E25" s="21">
        <v>26119.45</v>
      </c>
      <c r="F25" s="20">
        <f t="shared" si="0"/>
        <v>0.15166340508806261</v>
      </c>
      <c r="G25" s="20" t="e">
        <f t="shared" ca="1" si="1"/>
        <v>#NAME?</v>
      </c>
      <c r="H25" s="20" t="e">
        <f t="shared" ca="1" si="2"/>
        <v>#NAME?</v>
      </c>
      <c r="I25" s="20">
        <f t="shared" si="3"/>
        <v>0.18773298660936807</v>
      </c>
    </row>
    <row r="26" spans="1:9" x14ac:dyDescent="0.3">
      <c r="A26" t="s">
        <v>90</v>
      </c>
      <c r="B26" t="s">
        <v>76</v>
      </c>
      <c r="C26" s="22">
        <v>3498</v>
      </c>
      <c r="D26" s="22">
        <v>1461</v>
      </c>
      <c r="E26" s="21">
        <v>112762.75</v>
      </c>
      <c r="F26" s="20">
        <f t="shared" si="0"/>
        <v>0.41766723842195541</v>
      </c>
      <c r="G26" s="20" t="e">
        <f t="shared" ca="1" si="1"/>
        <v>#NAME?</v>
      </c>
      <c r="H26" s="20" t="e">
        <f t="shared" ca="1" si="2"/>
        <v>#NAME?</v>
      </c>
      <c r="I26" s="20">
        <f t="shared" si="3"/>
        <v>0.81047984684920704</v>
      </c>
    </row>
    <row r="27" spans="1:9" x14ac:dyDescent="0.3">
      <c r="A27" t="s">
        <v>90</v>
      </c>
      <c r="B27" t="s">
        <v>88</v>
      </c>
      <c r="C27" s="22">
        <v>1526</v>
      </c>
      <c r="D27" s="22">
        <v>113</v>
      </c>
      <c r="E27" s="21">
        <v>2301.6</v>
      </c>
      <c r="F27" s="20">
        <f t="shared" si="0"/>
        <v>7.4049803407601575E-2</v>
      </c>
      <c r="G27" s="20" t="e">
        <f t="shared" ca="1" si="1"/>
        <v>#NAME?</v>
      </c>
      <c r="H27" s="20" t="e">
        <f t="shared" ca="1" si="2"/>
        <v>#NAME?</v>
      </c>
      <c r="I27" s="20">
        <f t="shared" si="3"/>
        <v>1.6542700630377806E-2</v>
      </c>
    </row>
    <row r="28" spans="1:9" x14ac:dyDescent="0.3">
      <c r="A28" t="s">
        <v>90</v>
      </c>
      <c r="B28" t="s">
        <v>89</v>
      </c>
      <c r="C28" s="22">
        <v>2019</v>
      </c>
      <c r="D28" s="22">
        <v>295</v>
      </c>
      <c r="E28" s="21">
        <v>24066.5</v>
      </c>
      <c r="F28" s="20">
        <f t="shared" si="0"/>
        <v>0.14611193660227836</v>
      </c>
      <c r="G28" s="20" t="e">
        <f t="shared" ca="1" si="1"/>
        <v>#NAME?</v>
      </c>
      <c r="H28" s="20" t="e">
        <f t="shared" ca="1" si="2"/>
        <v>#NAME?</v>
      </c>
      <c r="I28" s="20">
        <f t="shared" si="3"/>
        <v>0.17297745252041513</v>
      </c>
    </row>
    <row r="29" spans="1:9" x14ac:dyDescent="0.3">
      <c r="A29" t="s">
        <v>91</v>
      </c>
      <c r="B29" t="s">
        <v>76</v>
      </c>
      <c r="C29" s="22">
        <v>3088</v>
      </c>
      <c r="D29" s="22">
        <v>1233</v>
      </c>
      <c r="E29" s="21">
        <v>91873.85</v>
      </c>
      <c r="F29" s="20">
        <f t="shared" si="0"/>
        <v>0.39928756476683935</v>
      </c>
      <c r="G29" s="20" t="e">
        <f t="shared" ca="1" si="1"/>
        <v>#NAME?</v>
      </c>
      <c r="H29" s="20" t="e">
        <f t="shared" ca="1" si="2"/>
        <v>#NAME?</v>
      </c>
      <c r="I29" s="20">
        <f t="shared" si="3"/>
        <v>0.66034132616885477</v>
      </c>
    </row>
    <row r="30" spans="1:9" x14ac:dyDescent="0.3">
      <c r="A30" t="s">
        <v>91</v>
      </c>
      <c r="B30" t="s">
        <v>88</v>
      </c>
      <c r="C30" s="22">
        <v>1526</v>
      </c>
      <c r="D30" s="22">
        <v>113</v>
      </c>
      <c r="E30" s="21">
        <v>2301.6</v>
      </c>
      <c r="F30" s="20">
        <f t="shared" si="0"/>
        <v>7.4049803407601575E-2</v>
      </c>
      <c r="G30" s="20" t="e">
        <f t="shared" ca="1" si="1"/>
        <v>#NAME?</v>
      </c>
      <c r="H30" s="20" t="e">
        <f t="shared" ca="1" si="2"/>
        <v>#NAME?</v>
      </c>
      <c r="I30" s="20">
        <f t="shared" si="3"/>
        <v>1.6542700630377806E-2</v>
      </c>
    </row>
    <row r="31" spans="1:9" x14ac:dyDescent="0.3">
      <c r="A31" t="s">
        <v>91</v>
      </c>
      <c r="B31" t="s">
        <v>89</v>
      </c>
      <c r="C31" s="22">
        <v>2429</v>
      </c>
      <c r="D31" s="22">
        <v>523</v>
      </c>
      <c r="E31" s="21">
        <v>44955.4</v>
      </c>
      <c r="F31" s="20">
        <f t="shared" si="0"/>
        <v>0.21531494442157267</v>
      </c>
      <c r="G31" s="20" t="e">
        <f t="shared" ca="1" si="1"/>
        <v>#NAME?</v>
      </c>
      <c r="H31" s="20" t="e">
        <f t="shared" ca="1" si="2"/>
        <v>#NAME?</v>
      </c>
      <c r="I31" s="20">
        <f t="shared" si="3"/>
        <v>0.32311597320076746</v>
      </c>
    </row>
    <row r="32" spans="1:9" x14ac:dyDescent="0.3">
      <c r="A32" t="s">
        <v>92</v>
      </c>
      <c r="B32" t="s">
        <v>76</v>
      </c>
      <c r="C32" s="22">
        <v>3095</v>
      </c>
      <c r="D32" s="22">
        <v>1211</v>
      </c>
      <c r="E32" s="21">
        <v>88752.25</v>
      </c>
      <c r="F32" s="20">
        <f t="shared" si="0"/>
        <v>0.39127625201938609</v>
      </c>
      <c r="G32" s="20" t="e">
        <f t="shared" ca="1" si="1"/>
        <v>#NAME?</v>
      </c>
      <c r="H32" s="20" t="e">
        <f t="shared" ca="1" si="2"/>
        <v>#NAME?</v>
      </c>
      <c r="I32" s="20">
        <f t="shared" si="3"/>
        <v>0.63790489312758458</v>
      </c>
    </row>
    <row r="33" spans="1:9" x14ac:dyDescent="0.3">
      <c r="A33" t="s">
        <v>92</v>
      </c>
      <c r="B33" t="s">
        <v>88</v>
      </c>
      <c r="C33" s="22">
        <v>1526</v>
      </c>
      <c r="D33" s="22">
        <v>113</v>
      </c>
      <c r="E33" s="21">
        <v>2301.6</v>
      </c>
      <c r="F33" s="20">
        <f t="shared" si="0"/>
        <v>7.4049803407601575E-2</v>
      </c>
      <c r="G33" s="20" t="e">
        <f t="shared" ca="1" si="1"/>
        <v>#NAME?</v>
      </c>
      <c r="H33" s="20" t="e">
        <f t="shared" ca="1" si="2"/>
        <v>#NAME?</v>
      </c>
      <c r="I33" s="20">
        <f t="shared" si="3"/>
        <v>1.6542700630377806E-2</v>
      </c>
    </row>
    <row r="34" spans="1:9" x14ac:dyDescent="0.3">
      <c r="A34" t="s">
        <v>92</v>
      </c>
      <c r="B34" t="s">
        <v>89</v>
      </c>
      <c r="C34" s="22">
        <v>2422</v>
      </c>
      <c r="D34" s="22">
        <v>545</v>
      </c>
      <c r="E34" s="21">
        <v>48077</v>
      </c>
      <c r="F34" s="20">
        <f t="shared" si="0"/>
        <v>0.22502064409578859</v>
      </c>
      <c r="G34" s="20" t="e">
        <f t="shared" ca="1" si="1"/>
        <v>#NAME?</v>
      </c>
      <c r="H34" s="20" t="e">
        <f t="shared" ca="1" si="2"/>
        <v>#NAME?</v>
      </c>
      <c r="I34" s="20">
        <f t="shared" si="3"/>
        <v>0.34555240624203759</v>
      </c>
    </row>
    <row r="35" spans="1:9" x14ac:dyDescent="0.3">
      <c r="A35" t="s">
        <v>93</v>
      </c>
      <c r="B35" t="s">
        <v>76</v>
      </c>
      <c r="C35" s="22">
        <v>2810</v>
      </c>
      <c r="D35" s="22">
        <v>942</v>
      </c>
      <c r="E35" s="21">
        <v>63164.4</v>
      </c>
      <c r="F35" s="20">
        <f t="shared" si="0"/>
        <v>0.33523131672597867</v>
      </c>
      <c r="G35" s="20" t="e">
        <f t="shared" ca="1" si="1"/>
        <v>#NAME?</v>
      </c>
      <c r="H35" s="20" t="e">
        <f t="shared" ca="1" si="2"/>
        <v>#NAME?</v>
      </c>
      <c r="I35" s="20">
        <f t="shared" si="3"/>
        <v>0.45399277011532668</v>
      </c>
    </row>
    <row r="36" spans="1:9" x14ac:dyDescent="0.3">
      <c r="A36" t="s">
        <v>93</v>
      </c>
      <c r="B36" t="s">
        <v>88</v>
      </c>
      <c r="C36" s="22">
        <v>1526</v>
      </c>
      <c r="D36" s="22">
        <v>113</v>
      </c>
      <c r="E36" s="21">
        <v>2301.6</v>
      </c>
      <c r="F36" s="20">
        <f t="shared" si="0"/>
        <v>7.4049803407601575E-2</v>
      </c>
      <c r="G36" s="20" t="e">
        <f t="shared" ca="1" si="1"/>
        <v>#NAME?</v>
      </c>
      <c r="H36" s="20" t="e">
        <f t="shared" ca="1" si="2"/>
        <v>#NAME?</v>
      </c>
      <c r="I36" s="20">
        <f t="shared" si="3"/>
        <v>1.6542700630377806E-2</v>
      </c>
    </row>
    <row r="37" spans="1:9" x14ac:dyDescent="0.3">
      <c r="A37" t="s">
        <v>93</v>
      </c>
      <c r="B37" t="s">
        <v>89</v>
      </c>
      <c r="C37" s="22">
        <v>2707</v>
      </c>
      <c r="D37" s="22">
        <v>814</v>
      </c>
      <c r="E37" s="21">
        <v>73664.850000000006</v>
      </c>
      <c r="F37" s="20">
        <f t="shared" ref="F37:F55" si="4">D37/C37</f>
        <v>0.30070188400443293</v>
      </c>
      <c r="G37" s="20" t="e">
        <f t="shared" ref="G37:G68" ca="1" si="5">(F37+$B$3^2/(2*C37)-$B$3*SQRT(F37*(1-F37)/C37+$B$3^2/(4*C37^2)))/(1+$B$3^2/C37)</f>
        <v>#NAME?</v>
      </c>
      <c r="H37" s="20" t="e">
        <f t="shared" ref="H37:H55" ca="1" si="6">(F37+$B$3^2/(2*C37)+$B$3*SQRT(F37*(1-F37)/C37+$B$3^2/(4*C37^2)))/(1+$B$3^2/C37)</f>
        <v>#NAME?</v>
      </c>
      <c r="I37" s="20">
        <f t="shared" ref="I37:I55" si="7">E37/SUMIF($A$5:$A$55,A37,$E$5:$E$55)</f>
        <v>0.52946452925429555</v>
      </c>
    </row>
    <row r="38" spans="1:9" x14ac:dyDescent="0.3">
      <c r="A38" t="s">
        <v>94</v>
      </c>
      <c r="B38" t="s">
        <v>76</v>
      </c>
      <c r="C38" s="22">
        <v>2785</v>
      </c>
      <c r="D38" s="22">
        <v>938</v>
      </c>
      <c r="E38" s="21">
        <v>63263.55</v>
      </c>
      <c r="F38" s="20">
        <f t="shared" si="4"/>
        <v>0.33680430879712747</v>
      </c>
      <c r="G38" s="20" t="e">
        <f t="shared" ca="1" si="5"/>
        <v>#NAME?</v>
      </c>
      <c r="H38" s="20" t="e">
        <f t="shared" ca="1" si="6"/>
        <v>#NAME?</v>
      </c>
      <c r="I38" s="20">
        <f t="shared" si="7"/>
        <v>0.45470540861354619</v>
      </c>
    </row>
    <row r="39" spans="1:9" x14ac:dyDescent="0.3">
      <c r="A39" t="s">
        <v>94</v>
      </c>
      <c r="B39" t="s">
        <v>88</v>
      </c>
      <c r="C39" s="22">
        <v>1526</v>
      </c>
      <c r="D39" s="22">
        <v>113</v>
      </c>
      <c r="E39" s="21">
        <v>2301.6</v>
      </c>
      <c r="F39" s="20">
        <f t="shared" si="4"/>
        <v>7.4049803407601575E-2</v>
      </c>
      <c r="G39" s="20" t="e">
        <f t="shared" ca="1" si="5"/>
        <v>#NAME?</v>
      </c>
      <c r="H39" s="20" t="e">
        <f t="shared" ca="1" si="6"/>
        <v>#NAME?</v>
      </c>
      <c r="I39" s="20">
        <f t="shared" si="7"/>
        <v>1.6542700630377806E-2</v>
      </c>
    </row>
    <row r="40" spans="1:9" x14ac:dyDescent="0.3">
      <c r="A40" t="s">
        <v>94</v>
      </c>
      <c r="B40" t="s">
        <v>89</v>
      </c>
      <c r="C40" s="22">
        <v>2732</v>
      </c>
      <c r="D40" s="22">
        <v>818</v>
      </c>
      <c r="E40" s="21">
        <v>73565.7</v>
      </c>
      <c r="F40" s="20">
        <f t="shared" si="4"/>
        <v>0.29941434846266474</v>
      </c>
      <c r="G40" s="20" t="e">
        <f t="shared" ca="1" si="5"/>
        <v>#NAME?</v>
      </c>
      <c r="H40" s="20" t="e">
        <f t="shared" ca="1" si="6"/>
        <v>#NAME?</v>
      </c>
      <c r="I40" s="20">
        <f t="shared" si="7"/>
        <v>0.52875189075607598</v>
      </c>
    </row>
    <row r="41" spans="1:9" x14ac:dyDescent="0.3">
      <c r="A41" t="s">
        <v>95</v>
      </c>
      <c r="B41" t="s">
        <v>96</v>
      </c>
      <c r="C41" s="22">
        <v>2872</v>
      </c>
      <c r="D41" s="22">
        <v>469</v>
      </c>
      <c r="E41" s="21">
        <v>29620.85</v>
      </c>
      <c r="F41" s="20">
        <f t="shared" si="4"/>
        <v>0.1633008356545961</v>
      </c>
      <c r="G41" s="20" t="e">
        <f t="shared" ca="1" si="5"/>
        <v>#NAME?</v>
      </c>
      <c r="H41" s="20" t="e">
        <f t="shared" ca="1" si="6"/>
        <v>#NAME?</v>
      </c>
      <c r="I41" s="20">
        <f t="shared" si="7"/>
        <v>0.21289922400387834</v>
      </c>
    </row>
    <row r="42" spans="1:9" x14ac:dyDescent="0.3">
      <c r="A42" t="s">
        <v>95</v>
      </c>
      <c r="B42" t="s">
        <v>97</v>
      </c>
      <c r="C42" s="22">
        <v>4171</v>
      </c>
      <c r="D42" s="22">
        <v>1400</v>
      </c>
      <c r="E42" s="21">
        <v>109510</v>
      </c>
      <c r="F42" s="20">
        <f t="shared" si="4"/>
        <v>0.33565092304003835</v>
      </c>
      <c r="G42" s="20" t="e">
        <f t="shared" ca="1" si="5"/>
        <v>#NAME?</v>
      </c>
      <c r="H42" s="20" t="e">
        <f t="shared" ca="1" si="6"/>
        <v>#NAME?</v>
      </c>
      <c r="I42" s="20">
        <f t="shared" si="7"/>
        <v>0.7871007759961216</v>
      </c>
    </row>
    <row r="43" spans="1:9" x14ac:dyDescent="0.3">
      <c r="A43" t="s">
        <v>98</v>
      </c>
      <c r="B43" t="s">
        <v>96</v>
      </c>
      <c r="C43" s="22">
        <v>5901</v>
      </c>
      <c r="D43" s="22">
        <v>1393</v>
      </c>
      <c r="E43" s="21">
        <v>100711.25</v>
      </c>
      <c r="F43" s="20">
        <f t="shared" si="4"/>
        <v>0.23606168446026096</v>
      </c>
      <c r="G43" s="20" t="e">
        <f t="shared" ca="1" si="5"/>
        <v>#NAME?</v>
      </c>
      <c r="H43" s="20" t="e">
        <f t="shared" ca="1" si="6"/>
        <v>#NAME?</v>
      </c>
      <c r="I43" s="20">
        <f t="shared" si="7"/>
        <v>0.72385994910546436</v>
      </c>
    </row>
    <row r="44" spans="1:9" x14ac:dyDescent="0.3">
      <c r="A44" t="s">
        <v>98</v>
      </c>
      <c r="B44" t="s">
        <v>97</v>
      </c>
      <c r="C44" s="22">
        <v>1142</v>
      </c>
      <c r="D44" s="22">
        <v>476</v>
      </c>
      <c r="E44" s="21">
        <v>38419.599999999999</v>
      </c>
      <c r="F44" s="20">
        <f t="shared" si="4"/>
        <v>0.41681260945709281</v>
      </c>
      <c r="G44" s="20" t="e">
        <f t="shared" ca="1" si="5"/>
        <v>#NAME?</v>
      </c>
      <c r="H44" s="20" t="e">
        <f t="shared" ca="1" si="6"/>
        <v>#NAME?</v>
      </c>
      <c r="I44" s="20">
        <f t="shared" si="7"/>
        <v>0.27614005089453558</v>
      </c>
    </row>
    <row r="45" spans="1:9" x14ac:dyDescent="0.3">
      <c r="A45" t="s">
        <v>99</v>
      </c>
      <c r="B45" t="s">
        <v>96</v>
      </c>
      <c r="C45" s="22">
        <v>3641</v>
      </c>
      <c r="D45" s="22">
        <v>1200</v>
      </c>
      <c r="E45" s="21">
        <v>85741.15</v>
      </c>
      <c r="F45" s="20">
        <f t="shared" si="4"/>
        <v>0.32957978577313923</v>
      </c>
      <c r="G45" s="20" t="e">
        <f t="shared" ca="1" si="5"/>
        <v>#NAME?</v>
      </c>
      <c r="H45" s="20" t="e">
        <f t="shared" ca="1" si="6"/>
        <v>#NAME?</v>
      </c>
      <c r="I45" s="20">
        <f t="shared" si="7"/>
        <v>0.61626267646607502</v>
      </c>
    </row>
    <row r="46" spans="1:9" x14ac:dyDescent="0.3">
      <c r="A46" t="s">
        <v>99</v>
      </c>
      <c r="B46" t="s">
        <v>97</v>
      </c>
      <c r="C46" s="22">
        <v>3402</v>
      </c>
      <c r="D46" s="22">
        <v>669</v>
      </c>
      <c r="E46" s="21">
        <v>53389.7</v>
      </c>
      <c r="F46" s="20">
        <f t="shared" si="4"/>
        <v>0.1966490299823633</v>
      </c>
      <c r="G46" s="20" t="e">
        <f t="shared" ca="1" si="5"/>
        <v>#NAME?</v>
      </c>
      <c r="H46" s="20" t="e">
        <f t="shared" ca="1" si="6"/>
        <v>#NAME?</v>
      </c>
      <c r="I46" s="20">
        <f t="shared" si="7"/>
        <v>0.38373732353392515</v>
      </c>
    </row>
    <row r="47" spans="1:9" x14ac:dyDescent="0.3">
      <c r="A47" t="s">
        <v>100</v>
      </c>
      <c r="B47" t="s">
        <v>96</v>
      </c>
      <c r="C47" s="22">
        <v>4933</v>
      </c>
      <c r="D47" s="22">
        <v>1543</v>
      </c>
      <c r="E47" s="21">
        <v>115376.5</v>
      </c>
      <c r="F47" s="20">
        <f t="shared" si="4"/>
        <v>0.31279140482465029</v>
      </c>
      <c r="G47" s="20" t="e">
        <f t="shared" ca="1" si="5"/>
        <v>#NAME?</v>
      </c>
      <c r="H47" s="20" t="e">
        <f t="shared" ca="1" si="6"/>
        <v>#NAME?</v>
      </c>
      <c r="I47" s="20">
        <f t="shared" si="7"/>
        <v>0.82926611890892632</v>
      </c>
    </row>
    <row r="48" spans="1:9" x14ac:dyDescent="0.3">
      <c r="A48" t="s">
        <v>100</v>
      </c>
      <c r="B48" t="s">
        <v>97</v>
      </c>
      <c r="C48" s="22">
        <v>2110</v>
      </c>
      <c r="D48" s="22">
        <v>326</v>
      </c>
      <c r="E48" s="21">
        <v>23754.35</v>
      </c>
      <c r="F48" s="20">
        <f t="shared" si="4"/>
        <v>0.15450236966824646</v>
      </c>
      <c r="G48" s="20" t="e">
        <f t="shared" ca="1" si="5"/>
        <v>#NAME?</v>
      </c>
      <c r="H48" s="20" t="e">
        <f t="shared" ca="1" si="6"/>
        <v>#NAME?</v>
      </c>
      <c r="I48" s="20">
        <f t="shared" si="7"/>
        <v>0.1707338810910736</v>
      </c>
    </row>
    <row r="49" spans="1:9" x14ac:dyDescent="0.3">
      <c r="A49" t="s">
        <v>101</v>
      </c>
      <c r="B49" t="s">
        <v>76</v>
      </c>
      <c r="C49" s="22">
        <v>3390</v>
      </c>
      <c r="D49" s="22">
        <v>849</v>
      </c>
      <c r="E49" s="21">
        <v>57039.6</v>
      </c>
      <c r="F49" s="20">
        <f t="shared" si="4"/>
        <v>0.25044247787610618</v>
      </c>
      <c r="G49" s="20" t="e">
        <f t="shared" ca="1" si="5"/>
        <v>#NAME?</v>
      </c>
      <c r="H49" s="20" t="e">
        <f t="shared" ca="1" si="6"/>
        <v>#NAME?</v>
      </c>
      <c r="I49" s="20">
        <f t="shared" si="7"/>
        <v>0.40997090149309084</v>
      </c>
    </row>
    <row r="50" spans="1:9" x14ac:dyDescent="0.3">
      <c r="A50" t="s">
        <v>101</v>
      </c>
      <c r="B50" t="s">
        <v>102</v>
      </c>
      <c r="C50" s="22">
        <v>682</v>
      </c>
      <c r="D50" s="22">
        <v>170</v>
      </c>
      <c r="E50" s="21">
        <v>6380.75</v>
      </c>
      <c r="F50" s="20">
        <f t="shared" si="4"/>
        <v>0.24926686217008798</v>
      </c>
      <c r="G50" s="20" t="e">
        <f t="shared" ca="1" si="5"/>
        <v>#NAME?</v>
      </c>
      <c r="H50" s="20" t="e">
        <f t="shared" ca="1" si="6"/>
        <v>#NAME?</v>
      </c>
      <c r="I50" s="20">
        <f t="shared" si="7"/>
        <v>4.586150375707472E-2</v>
      </c>
    </row>
    <row r="51" spans="1:9" x14ac:dyDescent="0.3">
      <c r="A51" t="s">
        <v>101</v>
      </c>
      <c r="B51" t="s">
        <v>89</v>
      </c>
      <c r="C51" s="22">
        <v>2971</v>
      </c>
      <c r="D51" s="22">
        <v>850</v>
      </c>
      <c r="E51" s="21">
        <v>75710.5</v>
      </c>
      <c r="F51" s="20">
        <f t="shared" si="4"/>
        <v>0.28609895658027601</v>
      </c>
      <c r="G51" s="20" t="e">
        <f t="shared" ca="1" si="5"/>
        <v>#NAME?</v>
      </c>
      <c r="H51" s="20" t="e">
        <f t="shared" ca="1" si="6"/>
        <v>#NAME?</v>
      </c>
      <c r="I51" s="20">
        <f t="shared" si="7"/>
        <v>0.54416759474983445</v>
      </c>
    </row>
    <row r="52" spans="1:9" x14ac:dyDescent="0.3">
      <c r="A52" t="s">
        <v>103</v>
      </c>
      <c r="B52" t="s">
        <v>96</v>
      </c>
      <c r="C52" s="22">
        <v>682</v>
      </c>
      <c r="D52" s="22">
        <v>170</v>
      </c>
      <c r="E52" s="21">
        <v>6380.75</v>
      </c>
      <c r="F52" s="20">
        <f t="shared" si="4"/>
        <v>0.24926686217008798</v>
      </c>
      <c r="G52" s="20" t="e">
        <f t="shared" ca="1" si="5"/>
        <v>#NAME?</v>
      </c>
      <c r="H52" s="20" t="e">
        <f t="shared" ca="1" si="6"/>
        <v>#NAME?</v>
      </c>
      <c r="I52" s="20">
        <f t="shared" si="7"/>
        <v>4.586150375707472E-2</v>
      </c>
    </row>
    <row r="53" spans="1:9" x14ac:dyDescent="0.3">
      <c r="A53" t="s">
        <v>103</v>
      </c>
      <c r="B53" t="s">
        <v>97</v>
      </c>
      <c r="C53" s="22">
        <v>6361</v>
      </c>
      <c r="D53" s="22">
        <v>1699</v>
      </c>
      <c r="E53" s="21">
        <v>132750.1</v>
      </c>
      <c r="F53" s="20">
        <f t="shared" si="4"/>
        <v>0.2670963684955196</v>
      </c>
      <c r="G53" s="20" t="e">
        <f t="shared" ca="1" si="5"/>
        <v>#NAME?</v>
      </c>
      <c r="H53" s="20" t="e">
        <f t="shared" ca="1" si="6"/>
        <v>#NAME?</v>
      </c>
      <c r="I53" s="20">
        <f t="shared" si="7"/>
        <v>0.95413849624292524</v>
      </c>
    </row>
    <row r="54" spans="1:9" x14ac:dyDescent="0.3">
      <c r="A54" t="s">
        <v>104</v>
      </c>
      <c r="B54" t="s">
        <v>105</v>
      </c>
      <c r="C54" s="22">
        <v>3488</v>
      </c>
      <c r="D54" s="22">
        <v>939</v>
      </c>
      <c r="E54" s="21">
        <v>70248.55</v>
      </c>
      <c r="F54" s="20">
        <f t="shared" si="4"/>
        <v>0.26920871559633025</v>
      </c>
      <c r="G54" s="20" t="e">
        <f t="shared" ca="1" si="5"/>
        <v>#NAME?</v>
      </c>
      <c r="H54" s="20" t="e">
        <f t="shared" ca="1" si="6"/>
        <v>#NAME?</v>
      </c>
      <c r="I54" s="20">
        <f t="shared" si="7"/>
        <v>0.50490994628437902</v>
      </c>
    </row>
    <row r="55" spans="1:9" x14ac:dyDescent="0.3">
      <c r="A55" t="s">
        <v>104</v>
      </c>
      <c r="B55" t="s">
        <v>106</v>
      </c>
      <c r="C55" s="22">
        <v>3555</v>
      </c>
      <c r="D55" s="22">
        <v>930</v>
      </c>
      <c r="E55" s="21">
        <v>68882.3</v>
      </c>
      <c r="F55" s="20">
        <f t="shared" si="4"/>
        <v>0.26160337552742619</v>
      </c>
      <c r="G55" s="20" t="e">
        <f t="shared" ca="1" si="5"/>
        <v>#NAME?</v>
      </c>
      <c r="H55" s="20" t="e">
        <f t="shared" ca="1" si="6"/>
        <v>#NAME?</v>
      </c>
      <c r="I55" s="20">
        <f t="shared" si="7"/>
        <v>0.49509005371562093</v>
      </c>
    </row>
  </sheetData>
  <autoFilter ref="A4:I55" xr:uid="{00000000-0009-0000-0000-000003000000}"/>
  <conditionalFormatting sqref="F5:F55">
    <cfRule type="colorScale" priority="1">
      <colorScale>
        <cfvo type="min"/>
        <cfvo type="max"/>
        <color rgb="FFFFFFFF"/>
        <color rgb="FFD03B3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7"/>
  <sheetViews>
    <sheetView workbookViewId="0"/>
  </sheetViews>
  <sheetFormatPr defaultRowHeight="14.4" x14ac:dyDescent="0.3"/>
  <cols>
    <col min="1" max="1" width="12" customWidth="1"/>
    <col min="2" max="2" width="11" customWidth="1"/>
    <col min="3" max="3" width="14" customWidth="1"/>
    <col min="4" max="4" width="16" customWidth="1"/>
    <col min="5" max="5" width="12" customWidth="1"/>
    <col min="6" max="6" width="18" customWidth="1"/>
    <col min="7" max="7" width="14" customWidth="1"/>
    <col min="8" max="8" width="16" customWidth="1"/>
  </cols>
  <sheetData>
    <row r="1" spans="1:8" ht="18" x14ac:dyDescent="0.35">
      <c r="A1" s="1" t="s">
        <v>107</v>
      </c>
    </row>
    <row r="2" spans="1:8" x14ac:dyDescent="0.3">
      <c r="A2" s="2" t="s">
        <v>108</v>
      </c>
    </row>
    <row r="4" spans="1:8" ht="30" customHeight="1" x14ac:dyDescent="0.3">
      <c r="A4" s="3" t="s">
        <v>109</v>
      </c>
      <c r="B4" s="3" t="s">
        <v>4</v>
      </c>
      <c r="C4" s="3" t="s">
        <v>110</v>
      </c>
      <c r="D4" s="3" t="s">
        <v>111</v>
      </c>
      <c r="E4" s="3" t="s">
        <v>112</v>
      </c>
      <c r="F4" s="3" t="s">
        <v>113</v>
      </c>
      <c r="G4" s="3" t="s">
        <v>114</v>
      </c>
      <c r="H4" s="3" t="s">
        <v>115</v>
      </c>
    </row>
    <row r="5" spans="1:8" x14ac:dyDescent="0.3">
      <c r="A5" t="s">
        <v>116</v>
      </c>
      <c r="B5" s="22">
        <v>1569</v>
      </c>
      <c r="C5" s="20">
        <v>0.65838099999999999</v>
      </c>
      <c r="D5" s="20">
        <v>0.64429800000000004</v>
      </c>
      <c r="E5" s="21">
        <v>126069.25</v>
      </c>
      <c r="F5" s="21">
        <v>81604.37</v>
      </c>
      <c r="G5" s="20">
        <f>B5/SUM($B$5:$B$7)</f>
        <v>0.22277438591509299</v>
      </c>
      <c r="H5" s="20">
        <f>F5/SUM($F$5:$F$7)</f>
        <v>0.58578266746116359</v>
      </c>
    </row>
    <row r="6" spans="1:8" x14ac:dyDescent="0.3">
      <c r="A6" t="s">
        <v>117</v>
      </c>
      <c r="B6" s="22">
        <v>1451</v>
      </c>
      <c r="C6" s="20">
        <v>0.341833</v>
      </c>
      <c r="D6" s="20">
        <v>0.36695899999999998</v>
      </c>
      <c r="E6" s="21">
        <v>102017.7</v>
      </c>
      <c r="F6" s="21">
        <v>37648.230000000003</v>
      </c>
      <c r="G6" s="20">
        <f>B6/SUM($B$5:$B$7)</f>
        <v>0.20602016186284253</v>
      </c>
      <c r="H6" s="20">
        <f>F6/SUM($F$5:$F$7)</f>
        <v>0.27025122054850009</v>
      </c>
    </row>
    <row r="7" spans="1:8" x14ac:dyDescent="0.3">
      <c r="A7" t="s">
        <v>118</v>
      </c>
      <c r="B7" s="22">
        <v>4023</v>
      </c>
      <c r="C7" s="20">
        <v>8.4514000000000006E-2</v>
      </c>
      <c r="D7" s="20">
        <v>8.1526000000000001E-2</v>
      </c>
      <c r="E7" s="21">
        <v>228029.65</v>
      </c>
      <c r="F7" s="21">
        <v>20055.669999999998</v>
      </c>
      <c r="G7" s="20">
        <f>B7/SUM($B$5:$B$7)</f>
        <v>0.57120545222206442</v>
      </c>
      <c r="H7" s="20">
        <f>F7/SUM($F$5:$F$7)</f>
        <v>0.14396611199033621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4"/>
  <sheetViews>
    <sheetView workbookViewId="0"/>
  </sheetViews>
  <sheetFormatPr defaultRowHeight="14.4" x14ac:dyDescent="0.3"/>
  <cols>
    <col min="1" max="1" width="8" customWidth="1"/>
    <col min="2" max="2" width="11" customWidth="1"/>
    <col min="3" max="3" width="10" customWidth="1"/>
    <col min="4" max="4" width="11" customWidth="1"/>
    <col min="5" max="5" width="8" customWidth="1"/>
    <col min="6" max="6" width="16" customWidth="1"/>
  </cols>
  <sheetData>
    <row r="1" spans="1:6" ht="18" x14ac:dyDescent="0.35">
      <c r="A1" s="1" t="s">
        <v>119</v>
      </c>
    </row>
    <row r="2" spans="1:6" x14ac:dyDescent="0.3">
      <c r="A2" s="2" t="s">
        <v>120</v>
      </c>
    </row>
    <row r="4" spans="1:6" ht="30" customHeight="1" x14ac:dyDescent="0.3">
      <c r="A4" s="3" t="s">
        <v>121</v>
      </c>
      <c r="B4" s="3" t="s">
        <v>4</v>
      </c>
      <c r="C4" s="3" t="s">
        <v>49</v>
      </c>
      <c r="D4" s="3" t="s">
        <v>6</v>
      </c>
      <c r="E4" s="3" t="s">
        <v>122</v>
      </c>
      <c r="F4" s="3" t="s">
        <v>123</v>
      </c>
    </row>
    <row r="5" spans="1:6" x14ac:dyDescent="0.3">
      <c r="A5">
        <v>1</v>
      </c>
      <c r="B5" s="22">
        <v>177</v>
      </c>
      <c r="C5" s="22">
        <v>131</v>
      </c>
      <c r="D5" s="20">
        <f t="shared" ref="D5:D14" si="0">C5/B5</f>
        <v>0.74011299435028244</v>
      </c>
      <c r="E5" s="24">
        <f t="shared" ref="E5:E14" si="1">D5/(SUM($C$5:$C$14)/SUM($B$5:$B$14))</f>
        <v>2.7908757667041701</v>
      </c>
      <c r="F5" s="20">
        <f>SUM($C$5:C5)/SUM($C$5:$C$14)</f>
        <v>0.28051391862955033</v>
      </c>
    </row>
    <row r="6" spans="1:6" x14ac:dyDescent="0.3">
      <c r="A6">
        <v>2</v>
      </c>
      <c r="B6" s="22">
        <v>177</v>
      </c>
      <c r="C6" s="22">
        <v>105</v>
      </c>
      <c r="D6" s="20">
        <f t="shared" si="0"/>
        <v>0.59322033898305082</v>
      </c>
      <c r="E6" s="24">
        <f t="shared" si="1"/>
        <v>2.2369614923964725</v>
      </c>
      <c r="F6" s="20">
        <f>SUM($C$5:C6)/SUM($C$5:$C$14)</f>
        <v>0.50535331905781589</v>
      </c>
    </row>
    <row r="7" spans="1:6" x14ac:dyDescent="0.3">
      <c r="A7">
        <v>3</v>
      </c>
      <c r="B7" s="22">
        <v>177</v>
      </c>
      <c r="C7" s="22">
        <v>75</v>
      </c>
      <c r="D7" s="20">
        <f t="shared" si="0"/>
        <v>0.42372881355932202</v>
      </c>
      <c r="E7" s="24">
        <f t="shared" si="1"/>
        <v>1.5978296374260517</v>
      </c>
      <c r="F7" s="20">
        <f>SUM($C$5:C7)/SUM($C$5:$C$14)</f>
        <v>0.66595289079229125</v>
      </c>
    </row>
    <row r="8" spans="1:6" x14ac:dyDescent="0.3">
      <c r="A8">
        <v>4</v>
      </c>
      <c r="B8" s="22">
        <v>177</v>
      </c>
      <c r="C8" s="22">
        <v>59</v>
      </c>
      <c r="D8" s="20">
        <f t="shared" si="0"/>
        <v>0.33333333333333331</v>
      </c>
      <c r="E8" s="24">
        <f t="shared" si="1"/>
        <v>1.2569593147751605</v>
      </c>
      <c r="F8" s="20">
        <f>SUM($C$5:C8)/SUM($C$5:$C$14)</f>
        <v>0.79229122055674517</v>
      </c>
    </row>
    <row r="9" spans="1:6" x14ac:dyDescent="0.3">
      <c r="A9">
        <v>5</v>
      </c>
      <c r="B9" s="22">
        <v>177</v>
      </c>
      <c r="C9" s="22">
        <v>41</v>
      </c>
      <c r="D9" s="20">
        <f t="shared" si="0"/>
        <v>0.23163841807909605</v>
      </c>
      <c r="E9" s="24">
        <f t="shared" si="1"/>
        <v>0.87348020179290831</v>
      </c>
      <c r="F9" s="20">
        <f>SUM($C$5:C9)/SUM($C$5:$C$14)</f>
        <v>0.88008565310492504</v>
      </c>
    </row>
    <row r="10" spans="1:6" x14ac:dyDescent="0.3">
      <c r="A10">
        <v>6</v>
      </c>
      <c r="B10" s="22">
        <v>177</v>
      </c>
      <c r="C10" s="22">
        <v>25</v>
      </c>
      <c r="D10" s="20">
        <f t="shared" si="0"/>
        <v>0.14124293785310735</v>
      </c>
      <c r="E10" s="24">
        <f t="shared" si="1"/>
        <v>0.5326098791420173</v>
      </c>
      <c r="F10" s="20">
        <f>SUM($C$5:C10)/SUM($C$5:$C$14)</f>
        <v>0.93361884368308357</v>
      </c>
    </row>
    <row r="11" spans="1:6" x14ac:dyDescent="0.3">
      <c r="A11">
        <v>7</v>
      </c>
      <c r="B11" s="22">
        <v>177</v>
      </c>
      <c r="C11" s="22">
        <v>22</v>
      </c>
      <c r="D11" s="20">
        <f t="shared" si="0"/>
        <v>0.12429378531073447</v>
      </c>
      <c r="E11" s="24">
        <f t="shared" si="1"/>
        <v>0.46869669364497518</v>
      </c>
      <c r="F11" s="20">
        <f>SUM($C$5:C11)/SUM($C$5:$C$14)</f>
        <v>0.98072805139186292</v>
      </c>
    </row>
    <row r="12" spans="1:6" x14ac:dyDescent="0.3">
      <c r="A12">
        <v>8</v>
      </c>
      <c r="B12" s="22">
        <v>177</v>
      </c>
      <c r="C12" s="22">
        <v>5</v>
      </c>
      <c r="D12" s="20">
        <f t="shared" si="0"/>
        <v>2.8248587570621469E-2</v>
      </c>
      <c r="E12" s="24">
        <f t="shared" si="1"/>
        <v>0.10652197582840345</v>
      </c>
      <c r="F12" s="20">
        <f>SUM($C$5:C12)/SUM($C$5:$C$14)</f>
        <v>0.99143468950749469</v>
      </c>
    </row>
    <row r="13" spans="1:6" x14ac:dyDescent="0.3">
      <c r="A13">
        <v>9</v>
      </c>
      <c r="B13" s="22">
        <v>177</v>
      </c>
      <c r="C13" s="22">
        <v>3</v>
      </c>
      <c r="D13" s="20">
        <f t="shared" si="0"/>
        <v>1.6949152542372881E-2</v>
      </c>
      <c r="E13" s="24">
        <f t="shared" si="1"/>
        <v>6.3913185497042072E-2</v>
      </c>
      <c r="F13" s="20">
        <f>SUM($C$5:C13)/SUM($C$5:$C$14)</f>
        <v>0.99785867237687365</v>
      </c>
    </row>
    <row r="14" spans="1:6" x14ac:dyDescent="0.3">
      <c r="A14">
        <v>10</v>
      </c>
      <c r="B14" s="22">
        <v>168</v>
      </c>
      <c r="C14" s="22">
        <v>1</v>
      </c>
      <c r="D14" s="20">
        <f t="shared" si="0"/>
        <v>5.9523809523809521E-3</v>
      </c>
      <c r="E14" s="24">
        <f t="shared" si="1"/>
        <v>2.244570204955644E-2</v>
      </c>
      <c r="F14" s="20">
        <f>SUM($C$5:C14)/SUM($C$5:$C$14)</f>
        <v>1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ROI Calculator</vt:lpstr>
      <vt:lpstr>Groups</vt:lpstr>
      <vt:lpstr>Segments</vt:lpstr>
      <vt:lpstr>Risk bands</vt:lpstr>
      <vt:lpstr>Lift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kushal tandon</cp:lastModifiedBy>
  <dcterms:created xsi:type="dcterms:W3CDTF">2026-10-05T22:57:06Z</dcterms:created>
  <dcterms:modified xsi:type="dcterms:W3CDTF">2026-10-05T22:57:07Z</dcterms:modified>
</cp:coreProperties>
</file>